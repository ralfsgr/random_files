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/>
  </bookViews>
  <sheets>
    <sheet name="atone" sheetId="1" r:id="rId1"/>
  </sheets>
  <calcPr calcId="125725"/>
</workbook>
</file>

<file path=xl/calcChain.xml><?xml version="1.0" encoding="utf-8"?>
<calcChain xmlns="http://schemas.openxmlformats.org/spreadsheetml/2006/main">
  <c r="H14" i="1"/>
  <c r="E16"/>
  <c r="F16" s="1"/>
  <c r="G16" s="1"/>
  <c r="E17"/>
  <c r="F17" s="1"/>
  <c r="G17" s="1"/>
  <c r="E18"/>
  <c r="F18" s="1"/>
  <c r="G18" s="1"/>
  <c r="E19"/>
  <c r="F19" s="1"/>
  <c r="G19" s="1"/>
  <c r="E20"/>
  <c r="F20" s="1"/>
  <c r="G20" s="1"/>
  <c r="E21"/>
  <c r="F21" s="1"/>
  <c r="G21" s="1"/>
  <c r="E22"/>
  <c r="F22" s="1"/>
  <c r="G22" s="1"/>
  <c r="E23"/>
  <c r="F23" s="1"/>
  <c r="G23" s="1"/>
  <c r="E24"/>
  <c r="F24" s="1"/>
  <c r="G24" s="1"/>
  <c r="E7"/>
  <c r="F7" s="1"/>
  <c r="E8"/>
  <c r="F8" s="1"/>
  <c r="G8" s="1"/>
  <c r="E9"/>
  <c r="F9" s="1"/>
  <c r="G9" s="1"/>
  <c r="E10"/>
  <c r="F10" s="1"/>
  <c r="G10" s="1"/>
  <c r="E11"/>
  <c r="F11" s="1"/>
  <c r="G11" s="1"/>
  <c r="E12"/>
  <c r="F12" s="1"/>
  <c r="G12" s="1"/>
  <c r="E13"/>
  <c r="F13" s="1"/>
  <c r="G13" s="1"/>
  <c r="E14"/>
  <c r="F14" s="1"/>
  <c r="G14" s="1"/>
  <c r="E15"/>
  <c r="F15" s="1"/>
  <c r="G15" s="1"/>
  <c r="E6"/>
  <c r="F6" s="1"/>
  <c r="G6" s="1"/>
  <c r="U19"/>
  <c r="V19" s="1"/>
  <c r="W19" s="1"/>
  <c r="U20"/>
  <c r="V20" s="1"/>
  <c r="W20" s="1"/>
  <c r="U21"/>
  <c r="V21" s="1"/>
  <c r="W21" s="1"/>
  <c r="U22"/>
  <c r="V22" s="1"/>
  <c r="W22" s="1"/>
  <c r="U23"/>
  <c r="V23" s="1"/>
  <c r="W23" s="1"/>
  <c r="U24"/>
  <c r="V24" s="1"/>
  <c r="W24" s="1"/>
  <c r="U25"/>
  <c r="V25" s="1"/>
  <c r="W25" s="1"/>
  <c r="U26"/>
  <c r="V26" s="1"/>
  <c r="W26" s="1"/>
  <c r="U27"/>
  <c r="V27" s="1"/>
  <c r="W27" s="1"/>
  <c r="U28"/>
  <c r="V28" s="1"/>
  <c r="W28" s="1"/>
  <c r="U29"/>
  <c r="V29" s="1"/>
  <c r="W29" s="1"/>
  <c r="U30"/>
  <c r="V30" s="1"/>
  <c r="W30" s="1"/>
  <c r="U31"/>
  <c r="V31" s="1"/>
  <c r="W31" s="1"/>
  <c r="U32"/>
  <c r="V32" s="1"/>
  <c r="W32" s="1"/>
  <c r="U33"/>
  <c r="V33" s="1"/>
  <c r="W33" s="1"/>
  <c r="U34"/>
  <c r="V34" s="1"/>
  <c r="W34" s="1"/>
  <c r="U35"/>
  <c r="V35" s="1"/>
  <c r="W35" s="1"/>
  <c r="U36"/>
  <c r="V36" s="1"/>
  <c r="W36" s="1"/>
  <c r="U37"/>
  <c r="V37" s="1"/>
  <c r="W37" s="1"/>
  <c r="U38"/>
  <c r="V38" s="1"/>
  <c r="W38" s="1"/>
  <c r="U39"/>
  <c r="V39" s="1"/>
  <c r="W39" s="1"/>
  <c r="U40"/>
  <c r="V40" s="1"/>
  <c r="W40" s="1"/>
  <c r="U41"/>
  <c r="V41" s="1"/>
  <c r="W41" s="1"/>
  <c r="U42"/>
  <c r="V42" s="1"/>
  <c r="W42" s="1"/>
  <c r="U43"/>
  <c r="V43" s="1"/>
  <c r="W43" s="1"/>
  <c r="U44"/>
  <c r="V44" s="1"/>
  <c r="W44" s="1"/>
  <c r="U45"/>
  <c r="V45" s="1"/>
  <c r="W45" s="1"/>
  <c r="U46"/>
  <c r="V46" s="1"/>
  <c r="W46" s="1"/>
  <c r="U47"/>
  <c r="V47" s="1"/>
  <c r="W47" s="1"/>
  <c r="U48"/>
  <c r="V48" s="1"/>
  <c r="W48" s="1"/>
  <c r="U49"/>
  <c r="V49" s="1"/>
  <c r="W49" s="1"/>
  <c r="U50"/>
  <c r="V50" s="1"/>
  <c r="W50" s="1"/>
  <c r="U51"/>
  <c r="V51" s="1"/>
  <c r="W51" s="1"/>
  <c r="U52"/>
  <c r="V52" s="1"/>
  <c r="W52" s="1"/>
  <c r="U53"/>
  <c r="V53" s="1"/>
  <c r="W53" s="1"/>
  <c r="U54"/>
  <c r="V54" s="1"/>
  <c r="W54" s="1"/>
  <c r="U55"/>
  <c r="V55" s="1"/>
  <c r="W55" s="1"/>
  <c r="U56"/>
  <c r="V56" s="1"/>
  <c r="W56" s="1"/>
  <c r="U57"/>
  <c r="V57" s="1"/>
  <c r="W57" s="1"/>
  <c r="U58"/>
  <c r="V58" s="1"/>
  <c r="W58" s="1"/>
  <c r="U59"/>
  <c r="V59" s="1"/>
  <c r="W59" s="1"/>
  <c r="U60"/>
  <c r="V60" s="1"/>
  <c r="W60" s="1"/>
  <c r="U61"/>
  <c r="V61" s="1"/>
  <c r="W61" s="1"/>
  <c r="U62"/>
  <c r="V62" s="1"/>
  <c r="W62" s="1"/>
  <c r="U63"/>
  <c r="V63" s="1"/>
  <c r="W63" s="1"/>
  <c r="U5"/>
  <c r="V5" s="1"/>
  <c r="W5" s="1"/>
  <c r="U6"/>
  <c r="V6" s="1"/>
  <c r="W6" s="1"/>
  <c r="U7"/>
  <c r="V7" s="1"/>
  <c r="W7" s="1"/>
  <c r="U8"/>
  <c r="V8" s="1"/>
  <c r="W8" s="1"/>
  <c r="U9"/>
  <c r="V9" s="1"/>
  <c r="W9" s="1"/>
  <c r="U10"/>
  <c r="V10" s="1"/>
  <c r="W10" s="1"/>
  <c r="U11"/>
  <c r="V11" s="1"/>
  <c r="W11" s="1"/>
  <c r="U12"/>
  <c r="V12" s="1"/>
  <c r="W12" s="1"/>
  <c r="U13"/>
  <c r="V13" s="1"/>
  <c r="W13" s="1"/>
  <c r="U14"/>
  <c r="V14" s="1"/>
  <c r="W14" s="1"/>
  <c r="U15"/>
  <c r="V15" s="1"/>
  <c r="W15" s="1"/>
  <c r="U16"/>
  <c r="V16" s="1"/>
  <c r="W16" s="1"/>
  <c r="U17"/>
  <c r="V17" s="1"/>
  <c r="W17" s="1"/>
  <c r="U18"/>
  <c r="V18" s="1"/>
  <c r="W18" s="1"/>
  <c r="V4"/>
  <c r="W4" s="1"/>
  <c r="U4"/>
  <c r="E5"/>
  <c r="F5" s="1"/>
  <c r="M28"/>
  <c r="N28" s="1"/>
  <c r="O28" s="1"/>
  <c r="M29"/>
  <c r="N29" s="1"/>
  <c r="O29" s="1"/>
  <c r="M30"/>
  <c r="N30" s="1"/>
  <c r="O30" s="1"/>
  <c r="M31"/>
  <c r="N31" s="1"/>
  <c r="O31" s="1"/>
  <c r="M32"/>
  <c r="N32" s="1"/>
  <c r="O32" s="1"/>
  <c r="M33"/>
  <c r="N33" s="1"/>
  <c r="O33" s="1"/>
  <c r="M34"/>
  <c r="N34" s="1"/>
  <c r="O34" s="1"/>
  <c r="M35"/>
  <c r="N35" s="1"/>
  <c r="O35" s="1"/>
  <c r="M36"/>
  <c r="N36" s="1"/>
  <c r="O36" s="1"/>
  <c r="M37"/>
  <c r="N37" s="1"/>
  <c r="O37" s="1"/>
  <c r="M38"/>
  <c r="N38" s="1"/>
  <c r="O38" s="1"/>
  <c r="M39"/>
  <c r="N39" s="1"/>
  <c r="O39" s="1"/>
  <c r="M40"/>
  <c r="N40" s="1"/>
  <c r="O40" s="1"/>
  <c r="M41"/>
  <c r="N41" s="1"/>
  <c r="O41" s="1"/>
  <c r="M42"/>
  <c r="N42" s="1"/>
  <c r="O42" s="1"/>
  <c r="M43"/>
  <c r="N43" s="1"/>
  <c r="O43" s="1"/>
  <c r="M44"/>
  <c r="N44" s="1"/>
  <c r="O44" s="1"/>
  <c r="M45"/>
  <c r="N45" s="1"/>
  <c r="O45" s="1"/>
  <c r="M46"/>
  <c r="N46" s="1"/>
  <c r="O46" s="1"/>
  <c r="M47"/>
  <c r="N47" s="1"/>
  <c r="O47" s="1"/>
  <c r="M48"/>
  <c r="N48" s="1"/>
  <c r="O48" s="1"/>
  <c r="M49"/>
  <c r="N49" s="1"/>
  <c r="O49" s="1"/>
  <c r="M50"/>
  <c r="N50" s="1"/>
  <c r="O50" s="1"/>
  <c r="M51"/>
  <c r="N51" s="1"/>
  <c r="O51" s="1"/>
  <c r="M52"/>
  <c r="N52" s="1"/>
  <c r="O52" s="1"/>
  <c r="M53"/>
  <c r="N53" s="1"/>
  <c r="O53" s="1"/>
  <c r="M54"/>
  <c r="N54" s="1"/>
  <c r="O54" s="1"/>
  <c r="M55"/>
  <c r="N55" s="1"/>
  <c r="O55" s="1"/>
  <c r="M56"/>
  <c r="N56" s="1"/>
  <c r="O56" s="1"/>
  <c r="M57"/>
  <c r="N57" s="1"/>
  <c r="O57" s="1"/>
  <c r="M58"/>
  <c r="N58" s="1"/>
  <c r="O58" s="1"/>
  <c r="M59"/>
  <c r="N59" s="1"/>
  <c r="O59" s="1"/>
  <c r="M60"/>
  <c r="N60" s="1"/>
  <c r="O60" s="1"/>
  <c r="M61"/>
  <c r="N61" s="1"/>
  <c r="O61" s="1"/>
  <c r="M62"/>
  <c r="N62" s="1"/>
  <c r="O62" s="1"/>
  <c r="M63"/>
  <c r="N63" s="1"/>
  <c r="O63" s="1"/>
  <c r="M16"/>
  <c r="N16" s="1"/>
  <c r="O16" s="1"/>
  <c r="M17"/>
  <c r="N17" s="1"/>
  <c r="O17" s="1"/>
  <c r="M18"/>
  <c r="N18" s="1"/>
  <c r="O18" s="1"/>
  <c r="M19"/>
  <c r="N19" s="1"/>
  <c r="O19" s="1"/>
  <c r="M20"/>
  <c r="N20" s="1"/>
  <c r="O20" s="1"/>
  <c r="M21"/>
  <c r="N21" s="1"/>
  <c r="O21" s="1"/>
  <c r="M22"/>
  <c r="N22" s="1"/>
  <c r="O22" s="1"/>
  <c r="M23"/>
  <c r="N23" s="1"/>
  <c r="O23" s="1"/>
  <c r="M24"/>
  <c r="N24" s="1"/>
  <c r="O24" s="1"/>
  <c r="M25"/>
  <c r="N25" s="1"/>
  <c r="O25" s="1"/>
  <c r="M26"/>
  <c r="N26" s="1"/>
  <c r="O26" s="1"/>
  <c r="M27"/>
  <c r="N27" s="1"/>
  <c r="O27" s="1"/>
  <c r="M13"/>
  <c r="N13" s="1"/>
  <c r="O13" s="1"/>
  <c r="M14"/>
  <c r="N14" s="1"/>
  <c r="O14" s="1"/>
  <c r="M15"/>
  <c r="N15" s="1"/>
  <c r="O15" s="1"/>
  <c r="M5"/>
  <c r="N5" s="1"/>
  <c r="O5" s="1"/>
  <c r="M6"/>
  <c r="N6" s="1"/>
  <c r="O6" s="1"/>
  <c r="M7"/>
  <c r="N7" s="1"/>
  <c r="O7" s="1"/>
  <c r="M8"/>
  <c r="N8" s="1"/>
  <c r="O8" s="1"/>
  <c r="M9"/>
  <c r="N9" s="1"/>
  <c r="O9" s="1"/>
  <c r="M10"/>
  <c r="N10" s="1"/>
  <c r="O10" s="1"/>
  <c r="M11"/>
  <c r="N11" s="1"/>
  <c r="O11" s="1"/>
  <c r="M12"/>
  <c r="N12" s="1"/>
  <c r="O12" s="1"/>
  <c r="M4"/>
  <c r="N4" s="1"/>
  <c r="P4" s="1"/>
  <c r="E4"/>
  <c r="F4" s="1"/>
  <c r="H4" s="1"/>
  <c r="H8" l="1"/>
  <c r="H13"/>
  <c r="H11"/>
  <c r="H12"/>
  <c r="H10"/>
  <c r="H9"/>
  <c r="X4"/>
  <c r="S5" s="1"/>
  <c r="X5" s="1"/>
  <c r="S6" s="1"/>
  <c r="X6" s="1"/>
  <c r="G7"/>
  <c r="H7"/>
  <c r="G5"/>
  <c r="H5"/>
  <c r="H6"/>
  <c r="K5"/>
  <c r="P5" s="1"/>
  <c r="K6" s="1"/>
  <c r="P6" s="1"/>
  <c r="K7" s="1"/>
  <c r="P7" s="1"/>
  <c r="K8" s="1"/>
  <c r="P8" s="1"/>
  <c r="K9" s="1"/>
  <c r="P9" s="1"/>
  <c r="K10" s="1"/>
  <c r="P10" s="1"/>
  <c r="K11" s="1"/>
  <c r="P11" s="1"/>
  <c r="K12" s="1"/>
  <c r="P12" s="1"/>
  <c r="K13" s="1"/>
  <c r="P13" s="1"/>
  <c r="K14" s="1"/>
  <c r="P14" s="1"/>
  <c r="K15" s="1"/>
  <c r="P15" s="1"/>
  <c r="K16" s="1"/>
  <c r="P16" s="1"/>
  <c r="K17" s="1"/>
  <c r="P17" s="1"/>
  <c r="K18" s="1"/>
  <c r="P18" s="1"/>
  <c r="K19" s="1"/>
  <c r="P19" s="1"/>
  <c r="K20" s="1"/>
  <c r="P20" s="1"/>
  <c r="K21" s="1"/>
  <c r="P21" s="1"/>
  <c r="K22" s="1"/>
  <c r="P22" s="1"/>
  <c r="K23" s="1"/>
  <c r="P23" s="1"/>
  <c r="K24" s="1"/>
  <c r="P24" s="1"/>
  <c r="K25" s="1"/>
  <c r="P25" s="1"/>
  <c r="K26" s="1"/>
  <c r="P26" s="1"/>
  <c r="K27" s="1"/>
  <c r="P27" s="1"/>
  <c r="K28" s="1"/>
  <c r="P28" s="1"/>
  <c r="K29" s="1"/>
  <c r="P29" s="1"/>
  <c r="K30" s="1"/>
  <c r="P30" s="1"/>
  <c r="K31" s="1"/>
  <c r="P31" s="1"/>
  <c r="K32" s="1"/>
  <c r="P32" s="1"/>
  <c r="K33" s="1"/>
  <c r="P33" s="1"/>
  <c r="K34" s="1"/>
  <c r="P34" s="1"/>
  <c r="K35" s="1"/>
  <c r="P35" s="1"/>
  <c r="K36" s="1"/>
  <c r="P36" s="1"/>
  <c r="K37" s="1"/>
  <c r="P37" s="1"/>
  <c r="K38" s="1"/>
  <c r="P38" s="1"/>
  <c r="K39" s="1"/>
  <c r="P39" s="1"/>
  <c r="K40" s="1"/>
  <c r="P40" s="1"/>
  <c r="K41" s="1"/>
  <c r="P41" s="1"/>
  <c r="K42" s="1"/>
  <c r="P42" s="1"/>
  <c r="K43" s="1"/>
  <c r="P43" s="1"/>
  <c r="K44" s="1"/>
  <c r="P44" s="1"/>
  <c r="K45" s="1"/>
  <c r="P45" s="1"/>
  <c r="K46" s="1"/>
  <c r="P46" s="1"/>
  <c r="K47" s="1"/>
  <c r="P47" s="1"/>
  <c r="K48" s="1"/>
  <c r="P48" s="1"/>
  <c r="K49" s="1"/>
  <c r="P49" s="1"/>
  <c r="K50" s="1"/>
  <c r="P50" s="1"/>
  <c r="K51" s="1"/>
  <c r="P51" s="1"/>
  <c r="K52" s="1"/>
  <c r="P52" s="1"/>
  <c r="K53" s="1"/>
  <c r="P53" s="1"/>
  <c r="K54" s="1"/>
  <c r="P54" s="1"/>
  <c r="K55" s="1"/>
  <c r="P55" s="1"/>
  <c r="K56" s="1"/>
  <c r="P56" s="1"/>
  <c r="K57" s="1"/>
  <c r="P57" s="1"/>
  <c r="K58" s="1"/>
  <c r="P58" s="1"/>
  <c r="K59" s="1"/>
  <c r="P59" s="1"/>
  <c r="K60" s="1"/>
  <c r="P60" s="1"/>
  <c r="K61" s="1"/>
  <c r="P61" s="1"/>
  <c r="K62" s="1"/>
  <c r="P62" s="1"/>
  <c r="K63" s="1"/>
  <c r="P63" s="1"/>
  <c r="O4"/>
  <c r="G4"/>
  <c r="S7" l="1"/>
  <c r="X7" l="1"/>
  <c r="S8" s="1"/>
  <c r="X8" s="1"/>
  <c r="S9" s="1"/>
  <c r="X9" s="1"/>
  <c r="S10" l="1"/>
  <c r="X10" s="1"/>
  <c r="S11" l="1"/>
  <c r="X11" s="1"/>
  <c r="S12" l="1"/>
  <c r="X12" s="1"/>
  <c r="S13" l="1"/>
  <c r="X13" s="1"/>
  <c r="S14" l="1"/>
  <c r="X14" s="1"/>
  <c r="S15" l="1"/>
  <c r="X15" s="1"/>
  <c r="S16" l="1"/>
  <c r="X16" l="1"/>
  <c r="S17" s="1"/>
  <c r="X17" s="1"/>
  <c r="S18" s="1"/>
  <c r="X18" s="1"/>
  <c r="S19" l="1"/>
  <c r="X19" s="1"/>
  <c r="S20" l="1"/>
  <c r="X20" s="1"/>
  <c r="S21" l="1"/>
  <c r="X21" s="1"/>
  <c r="S22" l="1"/>
  <c r="X22" s="1"/>
  <c r="S23" l="1"/>
  <c r="X23" s="1"/>
  <c r="S24" l="1"/>
  <c r="X24" s="1"/>
  <c r="S25" l="1"/>
  <c r="X25" s="1"/>
  <c r="S26" l="1"/>
  <c r="X26" s="1"/>
  <c r="S27" l="1"/>
  <c r="X27" s="1"/>
  <c r="S28" l="1"/>
  <c r="X28" s="1"/>
  <c r="S29" l="1"/>
  <c r="X29" s="1"/>
  <c r="S30" l="1"/>
  <c r="X30" s="1"/>
  <c r="S31" l="1"/>
  <c r="X31" s="1"/>
  <c r="S32" l="1"/>
  <c r="X32" s="1"/>
  <c r="S33" l="1"/>
  <c r="X33" s="1"/>
  <c r="S34" l="1"/>
  <c r="X34" s="1"/>
  <c r="S35" l="1"/>
  <c r="X35" s="1"/>
  <c r="S36" l="1"/>
  <c r="X36" s="1"/>
  <c r="S37" l="1"/>
  <c r="X37" s="1"/>
  <c r="S38" l="1"/>
  <c r="X38" s="1"/>
  <c r="S39" l="1"/>
  <c r="X39" s="1"/>
  <c r="S40" l="1"/>
  <c r="X40" s="1"/>
  <c r="S41" l="1"/>
  <c r="X41" s="1"/>
  <c r="S42" l="1"/>
  <c r="X42" s="1"/>
  <c r="S43" l="1"/>
  <c r="X43" s="1"/>
  <c r="S44" l="1"/>
  <c r="X44" s="1"/>
  <c r="S45" l="1"/>
  <c r="X45" s="1"/>
  <c r="S46" l="1"/>
  <c r="X46" s="1"/>
  <c r="S47" l="1"/>
  <c r="X47" s="1"/>
  <c r="S48" l="1"/>
  <c r="X48" s="1"/>
  <c r="S49" l="1"/>
  <c r="X49" s="1"/>
  <c r="S50" l="1"/>
  <c r="X50" s="1"/>
  <c r="S51" l="1"/>
  <c r="X51" s="1"/>
  <c r="S52" l="1"/>
  <c r="X52" s="1"/>
  <c r="S53" l="1"/>
  <c r="X53" s="1"/>
  <c r="S54" l="1"/>
  <c r="X54" s="1"/>
  <c r="S55" l="1"/>
  <c r="X55" s="1"/>
  <c r="S56" l="1"/>
  <c r="X56" s="1"/>
  <c r="S57" l="1"/>
  <c r="X57" s="1"/>
  <c r="S58" l="1"/>
  <c r="X58" s="1"/>
  <c r="S59" l="1"/>
  <c r="X59" s="1"/>
  <c r="S60" l="1"/>
  <c r="X60" s="1"/>
  <c r="S61" l="1"/>
  <c r="X61" s="1"/>
  <c r="S62" l="1"/>
  <c r="X62" s="1"/>
  <c r="S63" l="1"/>
  <c r="X63" s="1"/>
</calcChain>
</file>

<file path=xl/sharedStrings.xml><?xml version="1.0" encoding="utf-8"?>
<sst xmlns="http://schemas.openxmlformats.org/spreadsheetml/2006/main" count="44" uniqueCount="30">
  <si>
    <t>date</t>
  </si>
  <si>
    <t>total</t>
  </si>
  <si>
    <t>01.04.2025</t>
  </si>
  <si>
    <t>APY</t>
  </si>
  <si>
    <t>yield</t>
  </si>
  <si>
    <t>monthly interest rate</t>
  </si>
  <si>
    <t>monthly interest rate in %</t>
  </si>
  <si>
    <t>total end of month</t>
  </si>
  <si>
    <t>actual investments</t>
  </si>
  <si>
    <t>predictive investments</t>
  </si>
  <si>
    <t>01.05.2025</t>
  </si>
  <si>
    <t>01.06.2025</t>
  </si>
  <si>
    <t>01.07.2025</t>
  </si>
  <si>
    <t>01.08.2025</t>
  </si>
  <si>
    <t>01.09.2025</t>
  </si>
  <si>
    <t>01.10.2025</t>
  </si>
  <si>
    <t>01.11.2025</t>
  </si>
  <si>
    <t>01.12.2025</t>
  </si>
  <si>
    <t>01.01.2026</t>
  </si>
  <si>
    <t>01.02.2026</t>
  </si>
  <si>
    <t>01.03.2026</t>
  </si>
  <si>
    <t>01.04.2026</t>
  </si>
  <si>
    <t>01.05.2026</t>
  </si>
  <si>
    <t>01.06.2026</t>
  </si>
  <si>
    <t>01.07.2026</t>
  </si>
  <si>
    <t>01.08.2026</t>
  </si>
  <si>
    <t>01.09.2026</t>
  </si>
  <si>
    <t>01.10.2026</t>
  </si>
  <si>
    <t>01.11.2026</t>
  </si>
  <si>
    <t>01.12.2026</t>
  </si>
</sst>
</file>

<file path=xl/styles.xml><?xml version="1.0" encoding="utf-8"?>
<styleSheet xmlns="http://schemas.openxmlformats.org/spreadsheetml/2006/main">
  <numFmts count="3">
    <numFmt numFmtId="164" formatCode="0.00000000"/>
    <numFmt numFmtId="165" formatCode="0.0000"/>
    <numFmt numFmtId="166" formatCode="0.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X63"/>
  <sheetViews>
    <sheetView tabSelected="1" workbookViewId="0">
      <selection activeCell="H15" sqref="H15"/>
    </sheetView>
  </sheetViews>
  <sheetFormatPr defaultRowHeight="15"/>
  <cols>
    <col min="2" max="2" width="12.42578125" style="1" customWidth="1"/>
    <col min="3" max="5" width="9.140625" style="1" customWidth="1"/>
    <col min="6" max="8" width="14.7109375" style="1" customWidth="1"/>
    <col min="10" max="10" width="12.5703125" style="1" customWidth="1"/>
    <col min="11" max="11" width="9.7109375" style="1" customWidth="1"/>
    <col min="12" max="13" width="9.140625" style="1"/>
    <col min="14" max="14" width="15" style="1" customWidth="1"/>
    <col min="15" max="15" width="14.5703125" style="1" customWidth="1"/>
    <col min="16" max="16" width="12.5703125" style="1" customWidth="1"/>
    <col min="18" max="18" width="9.140625" style="1"/>
    <col min="19" max="19" width="11.140625" style="1" bestFit="1" customWidth="1"/>
    <col min="20" max="23" width="9.140625" style="1"/>
    <col min="24" max="24" width="12" style="1" bestFit="1" customWidth="1"/>
  </cols>
  <sheetData>
    <row r="2" spans="2:24">
      <c r="B2" s="15" t="s">
        <v>8</v>
      </c>
      <c r="C2" s="15"/>
      <c r="D2" s="15"/>
      <c r="E2" s="15"/>
      <c r="F2" s="15"/>
      <c r="G2" s="15"/>
      <c r="H2" s="15"/>
      <c r="J2" s="16" t="s">
        <v>9</v>
      </c>
      <c r="K2" s="16"/>
      <c r="L2" s="16"/>
      <c r="M2" s="16"/>
      <c r="N2" s="16"/>
      <c r="O2" s="16"/>
      <c r="P2" s="16"/>
    </row>
    <row r="3" spans="2:24" ht="47.25" customHeight="1">
      <c r="B3" s="6" t="s">
        <v>0</v>
      </c>
      <c r="C3" s="6" t="s">
        <v>1</v>
      </c>
      <c r="D3" s="7" t="s">
        <v>3</v>
      </c>
      <c r="E3" s="6" t="s">
        <v>4</v>
      </c>
      <c r="F3" s="8" t="s">
        <v>5</v>
      </c>
      <c r="G3" s="8" t="s">
        <v>6</v>
      </c>
      <c r="H3" s="8" t="s">
        <v>7</v>
      </c>
      <c r="J3" s="6" t="s">
        <v>0</v>
      </c>
      <c r="K3" s="6" t="s">
        <v>1</v>
      </c>
      <c r="L3" s="7" t="s">
        <v>3</v>
      </c>
      <c r="M3" s="6" t="s">
        <v>4</v>
      </c>
      <c r="N3" s="8" t="s">
        <v>5</v>
      </c>
      <c r="O3" s="8" t="s">
        <v>6</v>
      </c>
      <c r="P3" s="8" t="s">
        <v>7</v>
      </c>
      <c r="R3" s="6" t="s">
        <v>0</v>
      </c>
      <c r="S3" s="6" t="s">
        <v>1</v>
      </c>
      <c r="T3" s="7" t="s">
        <v>3</v>
      </c>
      <c r="U3" s="6" t="s">
        <v>4</v>
      </c>
      <c r="V3" s="8" t="s">
        <v>5</v>
      </c>
      <c r="W3" s="8" t="s">
        <v>6</v>
      </c>
      <c r="X3" s="8" t="s">
        <v>7</v>
      </c>
    </row>
    <row r="4" spans="2:24">
      <c r="B4" s="2" t="s">
        <v>2</v>
      </c>
      <c r="C4" s="2">
        <v>4800</v>
      </c>
      <c r="D4" s="2">
        <v>50</v>
      </c>
      <c r="E4" s="2">
        <f>1+D4/100</f>
        <v>1.5</v>
      </c>
      <c r="F4" s="5">
        <f>(E4^(1/12))-1</f>
        <v>3.436608313191658E-2</v>
      </c>
      <c r="G4" s="4">
        <f>F4*100</f>
        <v>3.436608313191658</v>
      </c>
      <c r="H4" s="4">
        <f t="shared" ref="H4:H14" si="0">C4*(1+F4)</f>
        <v>4964.9571990331997</v>
      </c>
      <c r="J4" s="2">
        <v>1</v>
      </c>
      <c r="K4" s="2">
        <v>21800</v>
      </c>
      <c r="L4" s="2">
        <v>50</v>
      </c>
      <c r="M4" s="2">
        <f>1+L4/100</f>
        <v>1.5</v>
      </c>
      <c r="N4" s="3">
        <f>(M4^(1/12))-1</f>
        <v>3.436608313191658E-2</v>
      </c>
      <c r="O4" s="4">
        <f>N4*100</f>
        <v>3.436608313191658</v>
      </c>
      <c r="P4" s="4">
        <f>K4*(1+N4)</f>
        <v>22549.180612275781</v>
      </c>
      <c r="R4" s="2">
        <v>1</v>
      </c>
      <c r="S4" s="9">
        <v>135000000</v>
      </c>
      <c r="T4" s="2">
        <v>20</v>
      </c>
      <c r="U4" s="4">
        <f>1+T4/100</f>
        <v>1.2</v>
      </c>
      <c r="V4" s="10">
        <f>(U4^(1/12))-1</f>
        <v>1.5309470499731193E-2</v>
      </c>
      <c r="W4" s="4">
        <f>V4*100</f>
        <v>1.5309470499731193</v>
      </c>
      <c r="X4" s="9">
        <f>S4*(1+V4)</f>
        <v>137066778.51746371</v>
      </c>
    </row>
    <row r="5" spans="2:24">
      <c r="B5" s="2" t="s">
        <v>10</v>
      </c>
      <c r="C5" s="2">
        <v>5300</v>
      </c>
      <c r="D5" s="2">
        <v>50</v>
      </c>
      <c r="E5" s="2">
        <f>1+D5/100</f>
        <v>1.5</v>
      </c>
      <c r="F5" s="5">
        <f>(E5^(1/12))-1</f>
        <v>3.436608313191658E-2</v>
      </c>
      <c r="G5" s="4">
        <f>F5*100</f>
        <v>3.436608313191658</v>
      </c>
      <c r="H5" s="4">
        <f t="shared" si="0"/>
        <v>5482.1402405991576</v>
      </c>
      <c r="J5" s="2">
        <v>2</v>
      </c>
      <c r="K5" s="4">
        <f>P4</f>
        <v>22549.180612275781</v>
      </c>
      <c r="L5" s="2">
        <v>50</v>
      </c>
      <c r="M5" s="2">
        <f t="shared" ref="M5:M63" si="1">1+L5/100</f>
        <v>1.5</v>
      </c>
      <c r="N5" s="3">
        <f t="shared" ref="N5:N63" si="2">(M5^(1/12))-1</f>
        <v>3.436608313191658E-2</v>
      </c>
      <c r="O5" s="4">
        <f t="shared" ref="O5:O63" si="3">N5*100</f>
        <v>3.436608313191658</v>
      </c>
      <c r="P5" s="4">
        <f>K5*(1+N5)</f>
        <v>23324.107627753852</v>
      </c>
      <c r="R5" s="2">
        <v>2</v>
      </c>
      <c r="S5" s="9">
        <f>X4</f>
        <v>137066778.51746371</v>
      </c>
      <c r="T5" s="2">
        <v>20</v>
      </c>
      <c r="U5" s="4">
        <f t="shared" ref="U5:U63" si="4">1+T5/100</f>
        <v>1.2</v>
      </c>
      <c r="V5" s="10">
        <f t="shared" ref="V5:V63" si="5">(U5^(1/12))-1</f>
        <v>1.5309470499731193E-2</v>
      </c>
      <c r="W5" s="4">
        <f t="shared" ref="W5:W63" si="6">V5*100</f>
        <v>1.5309470499731193</v>
      </c>
      <c r="X5" s="9">
        <f>S5*(1+V5)</f>
        <v>139165198.31967002</v>
      </c>
    </row>
    <row r="6" spans="2:24">
      <c r="B6" s="2" t="s">
        <v>11</v>
      </c>
      <c r="C6" s="2">
        <v>9100</v>
      </c>
      <c r="D6" s="2">
        <v>50</v>
      </c>
      <c r="E6" s="2">
        <f>1+D6/100</f>
        <v>1.5</v>
      </c>
      <c r="F6" s="5">
        <f>(E6^(1/12))-1</f>
        <v>3.436608313191658E-2</v>
      </c>
      <c r="G6" s="4">
        <f>F6*100</f>
        <v>3.436608313191658</v>
      </c>
      <c r="H6" s="11">
        <f t="shared" si="0"/>
        <v>9412.7313565004406</v>
      </c>
      <c r="J6" s="2">
        <v>3</v>
      </c>
      <c r="K6" s="4">
        <f t="shared" ref="K6:K15" si="7">P5</f>
        <v>23324.107627753852</v>
      </c>
      <c r="L6" s="2">
        <v>50</v>
      </c>
      <c r="M6" s="2">
        <f t="shared" si="1"/>
        <v>1.5</v>
      </c>
      <c r="N6" s="3">
        <f t="shared" si="2"/>
        <v>3.436608313191658E-2</v>
      </c>
      <c r="O6" s="4">
        <f t="shared" si="3"/>
        <v>3.436608313191658</v>
      </c>
      <c r="P6" s="4">
        <f>K6*(1+N6)</f>
        <v>24125.665849467012</v>
      </c>
      <c r="R6" s="2">
        <v>3</v>
      </c>
      <c r="S6" s="9">
        <f>X5</f>
        <v>139165198.31967002</v>
      </c>
      <c r="T6" s="2">
        <v>20</v>
      </c>
      <c r="U6" s="4">
        <f t="shared" si="4"/>
        <v>1.2</v>
      </c>
      <c r="V6" s="10">
        <f t="shared" si="5"/>
        <v>1.5309470499731193E-2</v>
      </c>
      <c r="W6" s="4">
        <f t="shared" si="6"/>
        <v>1.5309470499731193</v>
      </c>
      <c r="X6" s="9">
        <f>S6*(1+V6)</f>
        <v>141295743.81793424</v>
      </c>
    </row>
    <row r="7" spans="2:24">
      <c r="B7" s="2" t="s">
        <v>12</v>
      </c>
      <c r="C7" s="12">
        <v>15600</v>
      </c>
      <c r="D7" s="2">
        <v>50</v>
      </c>
      <c r="E7" s="2">
        <f t="shared" ref="E7:E24" si="8">1+D7/100</f>
        <v>1.5</v>
      </c>
      <c r="F7" s="5">
        <f t="shared" ref="F7:F24" si="9">(E7^(1/12))-1</f>
        <v>3.436608313191658E-2</v>
      </c>
      <c r="G7" s="4">
        <f t="shared" ref="G7:G24" si="10">F7*100</f>
        <v>3.436608313191658</v>
      </c>
      <c r="H7" s="13">
        <f t="shared" si="0"/>
        <v>16136.110896857899</v>
      </c>
      <c r="J7" s="2">
        <v>4</v>
      </c>
      <c r="K7" s="4">
        <f t="shared" si="7"/>
        <v>24125.665849467012</v>
      </c>
      <c r="L7" s="2">
        <v>50</v>
      </c>
      <c r="M7" s="2">
        <f t="shared" si="1"/>
        <v>1.5</v>
      </c>
      <c r="N7" s="3">
        <f t="shared" si="2"/>
        <v>3.436608313191658E-2</v>
      </c>
      <c r="O7" s="4">
        <f t="shared" si="3"/>
        <v>3.436608313191658</v>
      </c>
      <c r="P7" s="4">
        <f t="shared" ref="P7:P12" si="11">K7*(1+N7)</f>
        <v>24954.770487662638</v>
      </c>
      <c r="R7" s="2">
        <v>4</v>
      </c>
      <c r="S7" s="9">
        <f t="shared" ref="S7:S63" si="12">X6</f>
        <v>141295743.81793424</v>
      </c>
      <c r="T7" s="2">
        <v>20</v>
      </c>
      <c r="U7" s="4">
        <f t="shared" si="4"/>
        <v>1.2</v>
      </c>
      <c r="V7" s="10">
        <f t="shared" si="5"/>
        <v>1.5309470499731193E-2</v>
      </c>
      <c r="W7" s="4">
        <f t="shared" si="6"/>
        <v>1.5309470499731193</v>
      </c>
      <c r="X7" s="9">
        <f t="shared" ref="X7:X63" si="13">S7*(1+V7)</f>
        <v>143458906.83965248</v>
      </c>
    </row>
    <row r="8" spans="2:24">
      <c r="B8" s="2" t="s">
        <v>13</v>
      </c>
      <c r="C8" s="14">
        <v>16400</v>
      </c>
      <c r="D8" s="2">
        <v>50</v>
      </c>
      <c r="E8" s="2">
        <f t="shared" si="8"/>
        <v>1.5</v>
      </c>
      <c r="F8" s="5">
        <f t="shared" si="9"/>
        <v>3.436608313191658E-2</v>
      </c>
      <c r="G8" s="4">
        <f t="shared" si="10"/>
        <v>3.436608313191658</v>
      </c>
      <c r="H8" s="4">
        <f t="shared" si="0"/>
        <v>16963.603763363433</v>
      </c>
      <c r="J8" s="2">
        <v>5</v>
      </c>
      <c r="K8" s="4">
        <f t="shared" si="7"/>
        <v>24954.770487662638</v>
      </c>
      <c r="L8" s="2">
        <v>50</v>
      </c>
      <c r="M8" s="2">
        <f t="shared" si="1"/>
        <v>1.5</v>
      </c>
      <c r="N8" s="3">
        <f t="shared" si="2"/>
        <v>3.436608313191658E-2</v>
      </c>
      <c r="O8" s="4">
        <f t="shared" si="3"/>
        <v>3.436608313191658</v>
      </c>
      <c r="P8" s="4">
        <f t="shared" si="11"/>
        <v>25812.368204779552</v>
      </c>
      <c r="R8" s="2">
        <v>5</v>
      </c>
      <c r="S8" s="9">
        <f t="shared" si="12"/>
        <v>143458906.83965248</v>
      </c>
      <c r="T8" s="2">
        <v>20</v>
      </c>
      <c r="U8" s="4">
        <f t="shared" si="4"/>
        <v>1.2</v>
      </c>
      <c r="V8" s="10">
        <f t="shared" si="5"/>
        <v>1.5309470499731193E-2</v>
      </c>
      <c r="W8" s="4">
        <f t="shared" si="6"/>
        <v>1.5309470499731193</v>
      </c>
      <c r="X8" s="9">
        <f t="shared" si="13"/>
        <v>145655186.74183783</v>
      </c>
    </row>
    <row r="9" spans="2:24">
      <c r="B9" s="2" t="s">
        <v>14</v>
      </c>
      <c r="C9" s="2">
        <v>31500</v>
      </c>
      <c r="D9" s="2">
        <v>50</v>
      </c>
      <c r="E9" s="2">
        <f t="shared" si="8"/>
        <v>1.5</v>
      </c>
      <c r="F9" s="5">
        <f t="shared" si="9"/>
        <v>3.436608313191658E-2</v>
      </c>
      <c r="G9" s="4">
        <f t="shared" si="10"/>
        <v>3.436608313191658</v>
      </c>
      <c r="H9" s="4">
        <f t="shared" si="0"/>
        <v>32582.531618655372</v>
      </c>
      <c r="J9" s="2">
        <v>6</v>
      </c>
      <c r="K9" s="4">
        <f t="shared" si="7"/>
        <v>25812.368204779552</v>
      </c>
      <c r="L9" s="2">
        <v>50</v>
      </c>
      <c r="M9" s="2">
        <f t="shared" si="1"/>
        <v>1.5</v>
      </c>
      <c r="N9" s="3">
        <f t="shared" si="2"/>
        <v>3.436608313191658E-2</v>
      </c>
      <c r="O9" s="4">
        <f t="shared" si="3"/>
        <v>3.436608313191658</v>
      </c>
      <c r="P9" s="4">
        <f t="shared" si="11"/>
        <v>26699.438196336647</v>
      </c>
      <c r="R9" s="2">
        <v>6</v>
      </c>
      <c r="S9" s="9">
        <f t="shared" si="12"/>
        <v>145655186.74183783</v>
      </c>
      <c r="T9" s="2">
        <v>20</v>
      </c>
      <c r="U9" s="4">
        <f t="shared" si="4"/>
        <v>1.2</v>
      </c>
      <c r="V9" s="10">
        <f t="shared" si="5"/>
        <v>1.5309470499731193E-2</v>
      </c>
      <c r="W9" s="4">
        <f t="shared" si="6"/>
        <v>1.5309470499731193</v>
      </c>
      <c r="X9" s="9">
        <f t="shared" si="13"/>
        <v>147885090.52639484</v>
      </c>
    </row>
    <row r="10" spans="2:24">
      <c r="B10" s="2" t="s">
        <v>15</v>
      </c>
      <c r="C10" s="2">
        <v>26400</v>
      </c>
      <c r="D10" s="2">
        <v>50</v>
      </c>
      <c r="E10" s="2">
        <f t="shared" si="8"/>
        <v>1.5</v>
      </c>
      <c r="F10" s="5">
        <f t="shared" si="9"/>
        <v>3.436608313191658E-2</v>
      </c>
      <c r="G10" s="4">
        <f t="shared" si="10"/>
        <v>3.436608313191658</v>
      </c>
      <c r="H10" s="4">
        <f t="shared" si="0"/>
        <v>27307.264594682598</v>
      </c>
      <c r="J10" s="2">
        <v>7</v>
      </c>
      <c r="K10" s="4">
        <f t="shared" si="7"/>
        <v>26699.438196336647</v>
      </c>
      <c r="L10" s="2">
        <v>50</v>
      </c>
      <c r="M10" s="2">
        <f t="shared" si="1"/>
        <v>1.5</v>
      </c>
      <c r="N10" s="3">
        <f t="shared" si="2"/>
        <v>3.436608313191658E-2</v>
      </c>
      <c r="O10" s="4">
        <f t="shared" si="3"/>
        <v>3.436608313191658</v>
      </c>
      <c r="P10" s="4">
        <f t="shared" si="11"/>
        <v>27616.99330896742</v>
      </c>
      <c r="R10" s="2">
        <v>7</v>
      </c>
      <c r="S10" s="9">
        <f t="shared" si="12"/>
        <v>147885090.52639484</v>
      </c>
      <c r="T10" s="2">
        <v>20</v>
      </c>
      <c r="U10" s="4">
        <f t="shared" si="4"/>
        <v>1.2</v>
      </c>
      <c r="V10" s="10">
        <f t="shared" si="5"/>
        <v>1.5309470499731193E-2</v>
      </c>
      <c r="W10" s="4">
        <f t="shared" si="6"/>
        <v>1.5309470499731193</v>
      </c>
      <c r="X10" s="9">
        <f t="shared" si="13"/>
        <v>150149132.95715877</v>
      </c>
    </row>
    <row r="11" spans="2:24">
      <c r="B11" s="2" t="s">
        <v>16</v>
      </c>
      <c r="C11" s="2">
        <v>20100</v>
      </c>
      <c r="D11" s="2">
        <v>50</v>
      </c>
      <c r="E11" s="2">
        <f t="shared" si="8"/>
        <v>1.5</v>
      </c>
      <c r="F11" s="5">
        <f t="shared" si="9"/>
        <v>3.436608313191658E-2</v>
      </c>
      <c r="G11" s="4">
        <f t="shared" si="10"/>
        <v>3.436608313191658</v>
      </c>
      <c r="H11" s="4">
        <f t="shared" si="0"/>
        <v>20790.758270951523</v>
      </c>
      <c r="J11" s="2">
        <v>8</v>
      </c>
      <c r="K11" s="4">
        <f t="shared" si="7"/>
        <v>27616.99330896742</v>
      </c>
      <c r="L11" s="2">
        <v>50</v>
      </c>
      <c r="M11" s="2">
        <f t="shared" si="1"/>
        <v>1.5</v>
      </c>
      <c r="N11" s="3">
        <f t="shared" si="2"/>
        <v>3.436608313191658E-2</v>
      </c>
      <c r="O11" s="4">
        <f t="shared" si="3"/>
        <v>3.436608313191658</v>
      </c>
      <c r="P11" s="4">
        <f t="shared" si="11"/>
        <v>28566.081196876978</v>
      </c>
      <c r="R11" s="2">
        <v>8</v>
      </c>
      <c r="S11" s="9">
        <f t="shared" si="12"/>
        <v>150149132.95715877</v>
      </c>
      <c r="T11" s="2">
        <v>20</v>
      </c>
      <c r="U11" s="4">
        <f t="shared" si="4"/>
        <v>1.2</v>
      </c>
      <c r="V11" s="10">
        <f t="shared" si="5"/>
        <v>1.5309470499731193E-2</v>
      </c>
      <c r="W11" s="4">
        <f t="shared" si="6"/>
        <v>1.5309470499731193</v>
      </c>
      <c r="X11" s="9">
        <f t="shared" si="13"/>
        <v>152447836.67872661</v>
      </c>
    </row>
    <row r="12" spans="2:24">
      <c r="B12" s="2" t="s">
        <v>17</v>
      </c>
      <c r="C12" s="2">
        <v>18300</v>
      </c>
      <c r="D12" s="2">
        <v>50</v>
      </c>
      <c r="E12" s="2">
        <f t="shared" si="8"/>
        <v>1.5</v>
      </c>
      <c r="F12" s="5">
        <f t="shared" si="9"/>
        <v>3.436608313191658E-2</v>
      </c>
      <c r="G12" s="4">
        <f t="shared" si="10"/>
        <v>3.436608313191658</v>
      </c>
      <c r="H12" s="4">
        <f t="shared" si="0"/>
        <v>18928.899321314075</v>
      </c>
      <c r="J12" s="2">
        <v>9</v>
      </c>
      <c r="K12" s="4">
        <f t="shared" si="7"/>
        <v>28566.081196876978</v>
      </c>
      <c r="L12" s="2">
        <v>50</v>
      </c>
      <c r="M12" s="2">
        <f t="shared" si="1"/>
        <v>1.5</v>
      </c>
      <c r="N12" s="3">
        <f t="shared" si="2"/>
        <v>3.436608313191658E-2</v>
      </c>
      <c r="O12" s="4">
        <f t="shared" si="3"/>
        <v>3.436608313191658</v>
      </c>
      <c r="P12" s="4">
        <f t="shared" si="11"/>
        <v>29547.785518041932</v>
      </c>
      <c r="R12" s="2">
        <v>9</v>
      </c>
      <c r="S12" s="9">
        <f t="shared" si="12"/>
        <v>152447836.67872661</v>
      </c>
      <c r="T12" s="2">
        <v>20</v>
      </c>
      <c r="U12" s="4">
        <f t="shared" si="4"/>
        <v>1.2</v>
      </c>
      <c r="V12" s="10">
        <f t="shared" si="5"/>
        <v>1.5309470499731193E-2</v>
      </c>
      <c r="W12" s="4">
        <f t="shared" si="6"/>
        <v>1.5309470499731193</v>
      </c>
      <c r="X12" s="9">
        <f t="shared" si="13"/>
        <v>154781732.33710742</v>
      </c>
    </row>
    <row r="13" spans="2:24">
      <c r="B13" s="2" t="s">
        <v>18</v>
      </c>
      <c r="C13" s="2">
        <v>18500</v>
      </c>
      <c r="D13" s="2">
        <v>50</v>
      </c>
      <c r="E13" s="2">
        <f t="shared" si="8"/>
        <v>1.5</v>
      </c>
      <c r="F13" s="5">
        <f t="shared" si="9"/>
        <v>3.436608313191658E-2</v>
      </c>
      <c r="G13" s="4">
        <f t="shared" si="10"/>
        <v>3.436608313191658</v>
      </c>
      <c r="H13" s="4">
        <f t="shared" si="0"/>
        <v>19135.772537940458</v>
      </c>
      <c r="J13" s="2">
        <v>10</v>
      </c>
      <c r="K13" s="4">
        <f>P12</f>
        <v>29547.785518041932</v>
      </c>
      <c r="L13" s="2">
        <v>50</v>
      </c>
      <c r="M13" s="2">
        <f>1+L13/100</f>
        <v>1.5</v>
      </c>
      <c r="N13" s="3">
        <f>(M13^(1/12))-1</f>
        <v>3.436608313191658E-2</v>
      </c>
      <c r="O13" s="4">
        <f>N13*100</f>
        <v>3.436608313191658</v>
      </c>
      <c r="P13" s="4">
        <f t="shared" ref="P13:P20" si="14">K13*(1+N13)</f>
        <v>30563.227171519004</v>
      </c>
      <c r="R13" s="2">
        <v>10</v>
      </c>
      <c r="S13" s="9">
        <f t="shared" si="12"/>
        <v>154781732.33710742</v>
      </c>
      <c r="T13" s="2">
        <v>20</v>
      </c>
      <c r="U13" s="4">
        <f t="shared" si="4"/>
        <v>1.2</v>
      </c>
      <c r="V13" s="10">
        <f t="shared" si="5"/>
        <v>1.5309470499731193E-2</v>
      </c>
      <c r="W13" s="4">
        <f t="shared" si="6"/>
        <v>1.5309470499731193</v>
      </c>
      <c r="X13" s="9">
        <f t="shared" si="13"/>
        <v>157151358.70221967</v>
      </c>
    </row>
    <row r="14" spans="2:24">
      <c r="B14" s="2" t="s">
        <v>19</v>
      </c>
      <c r="C14" s="2">
        <v>21800</v>
      </c>
      <c r="D14" s="2">
        <v>50</v>
      </c>
      <c r="E14" s="2">
        <f t="shared" si="8"/>
        <v>1.5</v>
      </c>
      <c r="F14" s="5">
        <f t="shared" si="9"/>
        <v>3.436608313191658E-2</v>
      </c>
      <c r="G14" s="4">
        <f t="shared" si="10"/>
        <v>3.436608313191658</v>
      </c>
      <c r="H14" s="4">
        <f t="shared" si="0"/>
        <v>22549.180612275781</v>
      </c>
      <c r="J14" s="2">
        <v>11</v>
      </c>
      <c r="K14" s="4">
        <f t="shared" si="7"/>
        <v>30563.227171519004</v>
      </c>
      <c r="L14" s="2">
        <v>50</v>
      </c>
      <c r="M14" s="2">
        <f t="shared" si="1"/>
        <v>1.5</v>
      </c>
      <c r="N14" s="3">
        <f t="shared" si="2"/>
        <v>3.436608313191658E-2</v>
      </c>
      <c r="O14" s="4">
        <f t="shared" si="3"/>
        <v>3.436608313191658</v>
      </c>
      <c r="P14" s="4">
        <f t="shared" si="14"/>
        <v>31613.565577275076</v>
      </c>
      <c r="R14" s="2">
        <v>11</v>
      </c>
      <c r="S14" s="9">
        <f t="shared" si="12"/>
        <v>157151358.70221967</v>
      </c>
      <c r="T14" s="2">
        <v>20</v>
      </c>
      <c r="U14" s="4">
        <f t="shared" si="4"/>
        <v>1.2</v>
      </c>
      <c r="V14" s="10">
        <f t="shared" si="5"/>
        <v>1.5309470499731193E-2</v>
      </c>
      <c r="W14" s="4">
        <f t="shared" si="6"/>
        <v>1.5309470499731193</v>
      </c>
      <c r="X14" s="9">
        <f t="shared" si="13"/>
        <v>159557262.79226398</v>
      </c>
    </row>
    <row r="15" spans="2:24">
      <c r="B15" s="2" t="s">
        <v>20</v>
      </c>
      <c r="C15" s="2"/>
      <c r="D15" s="2">
        <v>50</v>
      </c>
      <c r="E15" s="2">
        <f t="shared" si="8"/>
        <v>1.5</v>
      </c>
      <c r="F15" s="5">
        <f t="shared" si="9"/>
        <v>3.436608313191658E-2</v>
      </c>
      <c r="G15" s="4">
        <f t="shared" si="10"/>
        <v>3.436608313191658</v>
      </c>
      <c r="H15" s="2"/>
      <c r="J15" s="2">
        <v>12</v>
      </c>
      <c r="K15" s="4">
        <f t="shared" si="7"/>
        <v>31613.565577275076</v>
      </c>
      <c r="L15" s="2">
        <v>50</v>
      </c>
      <c r="M15" s="2">
        <f t="shared" si="1"/>
        <v>1.5</v>
      </c>
      <c r="N15" s="3">
        <f t="shared" si="2"/>
        <v>3.436608313191658E-2</v>
      </c>
      <c r="O15" s="4">
        <f t="shared" si="3"/>
        <v>3.436608313191658</v>
      </c>
      <c r="P15" s="4">
        <f t="shared" si="14"/>
        <v>32700.000000000007</v>
      </c>
      <c r="R15" s="2">
        <v>12</v>
      </c>
      <c r="S15" s="9">
        <f t="shared" si="12"/>
        <v>159557262.79226398</v>
      </c>
      <c r="T15" s="2">
        <v>20</v>
      </c>
      <c r="U15" s="4">
        <f t="shared" si="4"/>
        <v>1.2</v>
      </c>
      <c r="V15" s="10">
        <f t="shared" si="5"/>
        <v>1.5309470499731193E-2</v>
      </c>
      <c r="W15" s="4">
        <f t="shared" si="6"/>
        <v>1.5309470499731193</v>
      </c>
      <c r="X15" s="9">
        <f t="shared" si="13"/>
        <v>162000000</v>
      </c>
    </row>
    <row r="16" spans="2:24">
      <c r="B16" s="2" t="s">
        <v>21</v>
      </c>
      <c r="C16" s="2"/>
      <c r="D16" s="2">
        <v>50</v>
      </c>
      <c r="E16" s="2">
        <f>1+D16/100</f>
        <v>1.5</v>
      </c>
      <c r="F16" s="5">
        <f>(E16^(1/12))-1</f>
        <v>3.436608313191658E-2</v>
      </c>
      <c r="G16" s="4">
        <f t="shared" si="10"/>
        <v>3.436608313191658</v>
      </c>
      <c r="H16" s="2"/>
      <c r="J16" s="2">
        <v>13</v>
      </c>
      <c r="K16" s="4">
        <f>P15</f>
        <v>32700.000000000007</v>
      </c>
      <c r="L16" s="2">
        <v>50</v>
      </c>
      <c r="M16" s="2">
        <f>1+L16/100</f>
        <v>1.5</v>
      </c>
      <c r="N16" s="3">
        <f>(M16^(1/12))-1</f>
        <v>3.436608313191658E-2</v>
      </c>
      <c r="O16" s="4">
        <f>N16*100</f>
        <v>3.436608313191658</v>
      </c>
      <c r="P16" s="4">
        <f t="shared" si="14"/>
        <v>33823.770918413677</v>
      </c>
      <c r="R16" s="2">
        <v>13</v>
      </c>
      <c r="S16" s="9">
        <f t="shared" si="12"/>
        <v>162000000</v>
      </c>
      <c r="T16" s="2">
        <v>20</v>
      </c>
      <c r="U16" s="4">
        <f t="shared" si="4"/>
        <v>1.2</v>
      </c>
      <c r="V16" s="10">
        <f t="shared" si="5"/>
        <v>1.5309470499731193E-2</v>
      </c>
      <c r="W16" s="4">
        <f t="shared" si="6"/>
        <v>1.5309470499731193</v>
      </c>
      <c r="X16" s="9">
        <f t="shared" si="13"/>
        <v>164480134.22095644</v>
      </c>
    </row>
    <row r="17" spans="2:24">
      <c r="B17" s="2" t="s">
        <v>22</v>
      </c>
      <c r="C17" s="2"/>
      <c r="D17" s="2">
        <v>50</v>
      </c>
      <c r="E17" s="2">
        <f t="shared" si="8"/>
        <v>1.5</v>
      </c>
      <c r="F17" s="5">
        <f t="shared" si="9"/>
        <v>3.436608313191658E-2</v>
      </c>
      <c r="G17" s="4">
        <f t="shared" si="10"/>
        <v>3.436608313191658</v>
      </c>
      <c r="H17" s="2"/>
      <c r="J17" s="2">
        <v>14</v>
      </c>
      <c r="K17" s="4">
        <f>P16</f>
        <v>33823.770918413677</v>
      </c>
      <c r="L17" s="2">
        <v>50</v>
      </c>
      <c r="M17" s="2">
        <f t="shared" si="1"/>
        <v>1.5</v>
      </c>
      <c r="N17" s="3">
        <f t="shared" si="2"/>
        <v>3.436608313191658E-2</v>
      </c>
      <c r="O17" s="4">
        <f t="shared" si="3"/>
        <v>3.436608313191658</v>
      </c>
      <c r="P17" s="4">
        <f t="shared" si="14"/>
        <v>34986.161441630786</v>
      </c>
      <c r="R17" s="2">
        <v>14</v>
      </c>
      <c r="S17" s="9">
        <f t="shared" si="12"/>
        <v>164480134.22095644</v>
      </c>
      <c r="T17" s="2">
        <v>20</v>
      </c>
      <c r="U17" s="4">
        <f t="shared" si="4"/>
        <v>1.2</v>
      </c>
      <c r="V17" s="10">
        <f t="shared" si="5"/>
        <v>1.5309470499731193E-2</v>
      </c>
      <c r="W17" s="4">
        <f t="shared" si="6"/>
        <v>1.5309470499731193</v>
      </c>
      <c r="X17" s="9">
        <f t="shared" si="13"/>
        <v>166998237.98360401</v>
      </c>
    </row>
    <row r="18" spans="2:24">
      <c r="B18" s="2" t="s">
        <v>23</v>
      </c>
      <c r="C18" s="2"/>
      <c r="D18" s="2">
        <v>50</v>
      </c>
      <c r="E18" s="2">
        <f t="shared" si="8"/>
        <v>1.5</v>
      </c>
      <c r="F18" s="5">
        <f t="shared" si="9"/>
        <v>3.436608313191658E-2</v>
      </c>
      <c r="G18" s="4">
        <f t="shared" si="10"/>
        <v>3.436608313191658</v>
      </c>
      <c r="H18" s="2"/>
      <c r="J18" s="2">
        <v>15</v>
      </c>
      <c r="K18" s="4">
        <f t="shared" ref="K18:K27" si="15">P17</f>
        <v>34986.161441630786</v>
      </c>
      <c r="L18" s="2">
        <v>50</v>
      </c>
      <c r="M18" s="2">
        <f t="shared" si="1"/>
        <v>1.5</v>
      </c>
      <c r="N18" s="3">
        <f t="shared" si="2"/>
        <v>3.436608313191658E-2</v>
      </c>
      <c r="O18" s="4">
        <f t="shared" si="3"/>
        <v>3.436608313191658</v>
      </c>
      <c r="P18" s="4">
        <f t="shared" si="14"/>
        <v>36188.498774200525</v>
      </c>
      <c r="R18" s="2">
        <v>15</v>
      </c>
      <c r="S18" s="9">
        <f t="shared" si="12"/>
        <v>166998237.98360401</v>
      </c>
      <c r="T18" s="2">
        <v>20</v>
      </c>
      <c r="U18" s="4">
        <f t="shared" si="4"/>
        <v>1.2</v>
      </c>
      <c r="V18" s="10">
        <f t="shared" si="5"/>
        <v>1.5309470499731193E-2</v>
      </c>
      <c r="W18" s="4">
        <f t="shared" si="6"/>
        <v>1.5309470499731193</v>
      </c>
      <c r="X18" s="9">
        <f t="shared" si="13"/>
        <v>169554892.58152109</v>
      </c>
    </row>
    <row r="19" spans="2:24">
      <c r="B19" s="2" t="s">
        <v>24</v>
      </c>
      <c r="C19" s="2"/>
      <c r="D19" s="2">
        <v>50</v>
      </c>
      <c r="E19" s="2">
        <f t="shared" si="8"/>
        <v>1.5</v>
      </c>
      <c r="F19" s="5">
        <f t="shared" si="9"/>
        <v>3.436608313191658E-2</v>
      </c>
      <c r="G19" s="4">
        <f t="shared" si="10"/>
        <v>3.436608313191658</v>
      </c>
      <c r="H19" s="2"/>
      <c r="J19" s="2">
        <v>16</v>
      </c>
      <c r="K19" s="4">
        <f t="shared" si="15"/>
        <v>36188.498774200525</v>
      </c>
      <c r="L19" s="2">
        <v>50</v>
      </c>
      <c r="M19" s="2">
        <f t="shared" si="1"/>
        <v>1.5</v>
      </c>
      <c r="N19" s="3">
        <f t="shared" si="2"/>
        <v>3.436608313191658E-2</v>
      </c>
      <c r="O19" s="4">
        <f t="shared" si="3"/>
        <v>3.436608313191658</v>
      </c>
      <c r="P19" s="4">
        <f t="shared" si="14"/>
        <v>37432.155731493964</v>
      </c>
      <c r="R19" s="2">
        <v>16</v>
      </c>
      <c r="S19" s="9">
        <f t="shared" si="12"/>
        <v>169554892.58152109</v>
      </c>
      <c r="T19" s="2">
        <v>20</v>
      </c>
      <c r="U19" s="4">
        <f t="shared" si="4"/>
        <v>1.2</v>
      </c>
      <c r="V19" s="10">
        <f t="shared" si="5"/>
        <v>1.5309470499731193E-2</v>
      </c>
      <c r="W19" s="4">
        <f t="shared" si="6"/>
        <v>1.5309470499731193</v>
      </c>
      <c r="X19" s="9">
        <f t="shared" si="13"/>
        <v>172150688.20758298</v>
      </c>
    </row>
    <row r="20" spans="2:24">
      <c r="B20" s="2" t="s">
        <v>25</v>
      </c>
      <c r="C20" s="2"/>
      <c r="D20" s="2">
        <v>50</v>
      </c>
      <c r="E20" s="2">
        <f t="shared" si="8"/>
        <v>1.5</v>
      </c>
      <c r="F20" s="5">
        <f t="shared" si="9"/>
        <v>3.436608313191658E-2</v>
      </c>
      <c r="G20" s="4">
        <f t="shared" si="10"/>
        <v>3.436608313191658</v>
      </c>
      <c r="H20" s="2"/>
      <c r="J20" s="2">
        <v>17</v>
      </c>
      <c r="K20" s="4">
        <f t="shared" si="15"/>
        <v>37432.155731493964</v>
      </c>
      <c r="L20" s="2">
        <v>50</v>
      </c>
      <c r="M20" s="2">
        <f t="shared" si="1"/>
        <v>1.5</v>
      </c>
      <c r="N20" s="3">
        <f t="shared" si="2"/>
        <v>3.436608313191658E-2</v>
      </c>
      <c r="O20" s="4">
        <f t="shared" si="3"/>
        <v>3.436608313191658</v>
      </c>
      <c r="P20" s="4">
        <f t="shared" si="14"/>
        <v>38718.552307169331</v>
      </c>
      <c r="R20" s="2">
        <v>17</v>
      </c>
      <c r="S20" s="9">
        <f t="shared" si="12"/>
        <v>172150688.20758298</v>
      </c>
      <c r="T20" s="2">
        <v>20</v>
      </c>
      <c r="U20" s="4">
        <f t="shared" si="4"/>
        <v>1.2</v>
      </c>
      <c r="V20" s="10">
        <f t="shared" si="5"/>
        <v>1.5309470499731193E-2</v>
      </c>
      <c r="W20" s="4">
        <f t="shared" si="6"/>
        <v>1.5309470499731193</v>
      </c>
      <c r="X20" s="9">
        <f t="shared" si="13"/>
        <v>174786224.0902054</v>
      </c>
    </row>
    <row r="21" spans="2:24">
      <c r="B21" s="2" t="s">
        <v>26</v>
      </c>
      <c r="C21" s="2"/>
      <c r="D21" s="2">
        <v>50</v>
      </c>
      <c r="E21" s="2">
        <f t="shared" si="8"/>
        <v>1.5</v>
      </c>
      <c r="F21" s="5">
        <f t="shared" si="9"/>
        <v>3.436608313191658E-2</v>
      </c>
      <c r="G21" s="4">
        <f t="shared" si="10"/>
        <v>3.436608313191658</v>
      </c>
      <c r="H21" s="2"/>
      <c r="J21" s="2">
        <v>18</v>
      </c>
      <c r="K21" s="4">
        <f t="shared" si="15"/>
        <v>38718.552307169331</v>
      </c>
      <c r="L21" s="2">
        <v>50</v>
      </c>
      <c r="M21" s="2">
        <f t="shared" si="1"/>
        <v>1.5</v>
      </c>
      <c r="N21" s="3">
        <f t="shared" si="2"/>
        <v>3.436608313191658E-2</v>
      </c>
      <c r="O21" s="4">
        <f t="shared" si="3"/>
        <v>3.436608313191658</v>
      </c>
      <c r="P21" s="4">
        <f t="shared" ref="P21:P26" si="16">K21*(1+N21)</f>
        <v>40049.15729450497</v>
      </c>
      <c r="R21" s="2">
        <v>18</v>
      </c>
      <c r="S21" s="9">
        <f t="shared" si="12"/>
        <v>174786224.0902054</v>
      </c>
      <c r="T21" s="2">
        <v>20</v>
      </c>
      <c r="U21" s="4">
        <f t="shared" si="4"/>
        <v>1.2</v>
      </c>
      <c r="V21" s="10">
        <f t="shared" si="5"/>
        <v>1.5309470499731193E-2</v>
      </c>
      <c r="W21" s="4">
        <f t="shared" si="6"/>
        <v>1.5309470499731193</v>
      </c>
      <c r="X21" s="9">
        <f t="shared" si="13"/>
        <v>177462108.63167381</v>
      </c>
    </row>
    <row r="22" spans="2:24">
      <c r="B22" s="2" t="s">
        <v>27</v>
      </c>
      <c r="C22" s="2"/>
      <c r="D22" s="2">
        <v>50</v>
      </c>
      <c r="E22" s="2">
        <f t="shared" si="8"/>
        <v>1.5</v>
      </c>
      <c r="F22" s="5">
        <f t="shared" si="9"/>
        <v>3.436608313191658E-2</v>
      </c>
      <c r="G22" s="4">
        <f t="shared" si="10"/>
        <v>3.436608313191658</v>
      </c>
      <c r="H22" s="2"/>
      <c r="J22" s="2">
        <v>19</v>
      </c>
      <c r="K22" s="4">
        <f t="shared" si="15"/>
        <v>40049.15729450497</v>
      </c>
      <c r="L22" s="2">
        <v>50</v>
      </c>
      <c r="M22" s="2">
        <f t="shared" si="1"/>
        <v>1.5</v>
      </c>
      <c r="N22" s="3">
        <f t="shared" si="2"/>
        <v>3.436608313191658E-2</v>
      </c>
      <c r="O22" s="4">
        <f t="shared" si="3"/>
        <v>3.436608313191658</v>
      </c>
      <c r="P22" s="4">
        <f t="shared" si="16"/>
        <v>41425.489963451131</v>
      </c>
      <c r="R22" s="2">
        <v>19</v>
      </c>
      <c r="S22" s="9">
        <f t="shared" si="12"/>
        <v>177462108.63167381</v>
      </c>
      <c r="T22" s="2">
        <v>20</v>
      </c>
      <c r="U22" s="4">
        <f t="shared" si="4"/>
        <v>1.2</v>
      </c>
      <c r="V22" s="10">
        <f t="shared" si="5"/>
        <v>1.5309470499731193E-2</v>
      </c>
      <c r="W22" s="4">
        <f t="shared" si="6"/>
        <v>1.5309470499731193</v>
      </c>
      <c r="X22" s="9">
        <f t="shared" si="13"/>
        <v>180178959.54859051</v>
      </c>
    </row>
    <row r="23" spans="2:24">
      <c r="B23" s="2" t="s">
        <v>28</v>
      </c>
      <c r="C23" s="2"/>
      <c r="D23" s="2">
        <v>50</v>
      </c>
      <c r="E23" s="2">
        <f t="shared" si="8"/>
        <v>1.5</v>
      </c>
      <c r="F23" s="5">
        <f t="shared" si="9"/>
        <v>3.436608313191658E-2</v>
      </c>
      <c r="G23" s="4">
        <f t="shared" si="10"/>
        <v>3.436608313191658</v>
      </c>
      <c r="H23" s="2"/>
      <c r="J23" s="2">
        <v>20</v>
      </c>
      <c r="K23" s="4">
        <f t="shared" si="15"/>
        <v>41425.489963451131</v>
      </c>
      <c r="L23" s="2">
        <v>50</v>
      </c>
      <c r="M23" s="2">
        <f t="shared" si="1"/>
        <v>1.5</v>
      </c>
      <c r="N23" s="3">
        <f t="shared" si="2"/>
        <v>3.436608313191658E-2</v>
      </c>
      <c r="O23" s="4">
        <f t="shared" si="3"/>
        <v>3.436608313191658</v>
      </c>
      <c r="P23" s="4">
        <f t="shared" si="16"/>
        <v>42849.12179531547</v>
      </c>
      <c r="R23" s="2">
        <v>20</v>
      </c>
      <c r="S23" s="9">
        <f t="shared" si="12"/>
        <v>180178959.54859051</v>
      </c>
      <c r="T23" s="2">
        <v>20</v>
      </c>
      <c r="U23" s="4">
        <f t="shared" si="4"/>
        <v>1.2</v>
      </c>
      <c r="V23" s="10">
        <f t="shared" si="5"/>
        <v>1.5309470499731193E-2</v>
      </c>
      <c r="W23" s="4">
        <f t="shared" si="6"/>
        <v>1.5309470499731193</v>
      </c>
      <c r="X23" s="9">
        <f t="shared" si="13"/>
        <v>182937404.01447192</v>
      </c>
    </row>
    <row r="24" spans="2:24">
      <c r="B24" s="2" t="s">
        <v>29</v>
      </c>
      <c r="C24" s="2"/>
      <c r="D24" s="2">
        <v>50</v>
      </c>
      <c r="E24" s="2">
        <f t="shared" si="8"/>
        <v>1.5</v>
      </c>
      <c r="F24" s="5">
        <f t="shared" si="9"/>
        <v>3.436608313191658E-2</v>
      </c>
      <c r="G24" s="4">
        <f t="shared" si="10"/>
        <v>3.436608313191658</v>
      </c>
      <c r="H24" s="2"/>
      <c r="J24" s="2">
        <v>21</v>
      </c>
      <c r="K24" s="4">
        <f t="shared" si="15"/>
        <v>42849.12179531547</v>
      </c>
      <c r="L24" s="2">
        <v>50</v>
      </c>
      <c r="M24" s="2">
        <f t="shared" si="1"/>
        <v>1.5</v>
      </c>
      <c r="N24" s="3">
        <f t="shared" si="2"/>
        <v>3.436608313191658E-2</v>
      </c>
      <c r="O24" s="4">
        <f t="shared" si="3"/>
        <v>3.436608313191658</v>
      </c>
      <c r="P24" s="4">
        <f t="shared" si="16"/>
        <v>44321.6782770629</v>
      </c>
      <c r="R24" s="2">
        <v>21</v>
      </c>
      <c r="S24" s="9">
        <f t="shared" si="12"/>
        <v>182937404.01447192</v>
      </c>
      <c r="T24" s="2">
        <v>20</v>
      </c>
      <c r="U24" s="4">
        <f t="shared" si="4"/>
        <v>1.2</v>
      </c>
      <c r="V24" s="10">
        <f t="shared" si="5"/>
        <v>1.5309470499731193E-2</v>
      </c>
      <c r="W24" s="4">
        <f t="shared" si="6"/>
        <v>1.5309470499731193</v>
      </c>
      <c r="X24" s="9">
        <f t="shared" si="13"/>
        <v>185738078.80452889</v>
      </c>
    </row>
    <row r="25" spans="2:24">
      <c r="J25" s="2">
        <v>22</v>
      </c>
      <c r="K25" s="4">
        <f>P24</f>
        <v>44321.6782770629</v>
      </c>
      <c r="L25" s="2">
        <v>50</v>
      </c>
      <c r="M25" s="2">
        <f>1+L25/100</f>
        <v>1.5</v>
      </c>
      <c r="N25" s="3">
        <f>(M25^(1/12))-1</f>
        <v>3.436608313191658E-2</v>
      </c>
      <c r="O25" s="4">
        <f>N25*100</f>
        <v>3.436608313191658</v>
      </c>
      <c r="P25" s="4">
        <f t="shared" si="16"/>
        <v>45844.840757278507</v>
      </c>
      <c r="R25" s="2">
        <v>22</v>
      </c>
      <c r="S25" s="9">
        <f t="shared" si="12"/>
        <v>185738078.80452889</v>
      </c>
      <c r="T25" s="2">
        <v>20</v>
      </c>
      <c r="U25" s="4">
        <f t="shared" si="4"/>
        <v>1.2</v>
      </c>
      <c r="V25" s="10">
        <f t="shared" si="5"/>
        <v>1.5309470499731193E-2</v>
      </c>
      <c r="W25" s="4">
        <f t="shared" si="6"/>
        <v>1.5309470499731193</v>
      </c>
      <c r="X25" s="9">
        <f t="shared" si="13"/>
        <v>188581630.44266358</v>
      </c>
    </row>
    <row r="26" spans="2:24">
      <c r="J26" s="2">
        <v>23</v>
      </c>
      <c r="K26" s="4">
        <f t="shared" si="15"/>
        <v>45844.840757278507</v>
      </c>
      <c r="L26" s="2">
        <v>50</v>
      </c>
      <c r="M26" s="2">
        <f t="shared" si="1"/>
        <v>1.5</v>
      </c>
      <c r="N26" s="3">
        <f t="shared" si="2"/>
        <v>3.436608313191658E-2</v>
      </c>
      <c r="O26" s="4">
        <f t="shared" si="3"/>
        <v>3.436608313191658</v>
      </c>
      <c r="P26" s="4">
        <f t="shared" si="16"/>
        <v>47420.348365912621</v>
      </c>
      <c r="R26" s="2">
        <v>23</v>
      </c>
      <c r="S26" s="9">
        <f t="shared" si="12"/>
        <v>188581630.44266358</v>
      </c>
      <c r="T26" s="2">
        <v>20</v>
      </c>
      <c r="U26" s="4">
        <f t="shared" si="4"/>
        <v>1.2</v>
      </c>
      <c r="V26" s="10">
        <f t="shared" si="5"/>
        <v>1.5309470499731193E-2</v>
      </c>
      <c r="W26" s="4">
        <f t="shared" si="6"/>
        <v>1.5309470499731193</v>
      </c>
      <c r="X26" s="9">
        <f t="shared" si="13"/>
        <v>191468715.35071674</v>
      </c>
    </row>
    <row r="27" spans="2:24">
      <c r="J27" s="2">
        <v>24</v>
      </c>
      <c r="K27" s="4">
        <f t="shared" si="15"/>
        <v>47420.348365912621</v>
      </c>
      <c r="L27" s="2">
        <v>50</v>
      </c>
      <c r="M27" s="2">
        <f t="shared" si="1"/>
        <v>1.5</v>
      </c>
      <c r="N27" s="3">
        <f t="shared" si="2"/>
        <v>3.436608313191658E-2</v>
      </c>
      <c r="O27" s="4">
        <f t="shared" si="3"/>
        <v>3.436608313191658</v>
      </c>
      <c r="P27" s="4">
        <f>K27*(1+N27)</f>
        <v>49050.000000000022</v>
      </c>
      <c r="R27" s="2">
        <v>24</v>
      </c>
      <c r="S27" s="9">
        <f t="shared" si="12"/>
        <v>191468715.35071674</v>
      </c>
      <c r="T27" s="2">
        <v>20</v>
      </c>
      <c r="U27" s="4">
        <f t="shared" si="4"/>
        <v>1.2</v>
      </c>
      <c r="V27" s="10">
        <f t="shared" si="5"/>
        <v>1.5309470499731193E-2</v>
      </c>
      <c r="W27" s="4">
        <f t="shared" si="6"/>
        <v>1.5309470499731193</v>
      </c>
      <c r="X27" s="9">
        <f t="shared" si="13"/>
        <v>194399999.99999997</v>
      </c>
    </row>
    <row r="28" spans="2:24">
      <c r="J28" s="2">
        <v>25</v>
      </c>
      <c r="K28" s="4">
        <f>P27</f>
        <v>49050.000000000022</v>
      </c>
      <c r="L28" s="2">
        <v>50</v>
      </c>
      <c r="M28" s="2">
        <f t="shared" si="1"/>
        <v>1.5</v>
      </c>
      <c r="N28" s="3">
        <f t="shared" si="2"/>
        <v>3.436608313191658E-2</v>
      </c>
      <c r="O28" s="4">
        <f t="shared" si="3"/>
        <v>3.436608313191658</v>
      </c>
      <c r="P28" s="4">
        <f t="shared" ref="P28:P63" si="17">K28*(1+N28)</f>
        <v>50735.656377620529</v>
      </c>
      <c r="R28" s="2">
        <v>25</v>
      </c>
      <c r="S28" s="9">
        <f t="shared" si="12"/>
        <v>194399999.99999997</v>
      </c>
      <c r="T28" s="2">
        <v>20</v>
      </c>
      <c r="U28" s="4">
        <f t="shared" si="4"/>
        <v>1.2</v>
      </c>
      <c r="V28" s="10">
        <f t="shared" si="5"/>
        <v>1.5309470499731193E-2</v>
      </c>
      <c r="W28" s="4">
        <f t="shared" si="6"/>
        <v>1.5309470499731193</v>
      </c>
      <c r="X28" s="9">
        <f t="shared" si="13"/>
        <v>197376161.06514773</v>
      </c>
    </row>
    <row r="29" spans="2:24">
      <c r="J29" s="2">
        <v>26</v>
      </c>
      <c r="K29" s="4">
        <f t="shared" ref="K29:K63" si="18">P28</f>
        <v>50735.656377620529</v>
      </c>
      <c r="L29" s="2">
        <v>50</v>
      </c>
      <c r="M29" s="2">
        <f t="shared" si="1"/>
        <v>1.5</v>
      </c>
      <c r="N29" s="3">
        <f t="shared" si="2"/>
        <v>3.436608313191658E-2</v>
      </c>
      <c r="O29" s="4">
        <f t="shared" si="3"/>
        <v>3.436608313191658</v>
      </c>
      <c r="P29" s="4">
        <f t="shared" si="17"/>
        <v>52479.242162446193</v>
      </c>
      <c r="R29" s="2">
        <v>26</v>
      </c>
      <c r="S29" s="9">
        <f t="shared" si="12"/>
        <v>197376161.06514773</v>
      </c>
      <c r="T29" s="2">
        <v>20</v>
      </c>
      <c r="U29" s="4">
        <f t="shared" si="4"/>
        <v>1.2</v>
      </c>
      <c r="V29" s="10">
        <f t="shared" si="5"/>
        <v>1.5309470499731193E-2</v>
      </c>
      <c r="W29" s="4">
        <f t="shared" si="6"/>
        <v>1.5309470499731193</v>
      </c>
      <c r="X29" s="9">
        <f t="shared" si="13"/>
        <v>200397885.5803248</v>
      </c>
    </row>
    <row r="30" spans="2:24">
      <c r="J30" s="2">
        <v>27</v>
      </c>
      <c r="K30" s="4">
        <f t="shared" si="18"/>
        <v>52479.242162446193</v>
      </c>
      <c r="L30" s="2">
        <v>50</v>
      </c>
      <c r="M30" s="2">
        <f t="shared" si="1"/>
        <v>1.5</v>
      </c>
      <c r="N30" s="3">
        <f t="shared" si="2"/>
        <v>3.436608313191658E-2</v>
      </c>
      <c r="O30" s="4">
        <f t="shared" si="3"/>
        <v>3.436608313191658</v>
      </c>
      <c r="P30" s="4">
        <f t="shared" si="17"/>
        <v>54282.748161300799</v>
      </c>
      <c r="R30" s="2">
        <v>27</v>
      </c>
      <c r="S30" s="9">
        <f t="shared" si="12"/>
        <v>200397885.5803248</v>
      </c>
      <c r="T30" s="2">
        <v>20</v>
      </c>
      <c r="U30" s="4">
        <f t="shared" si="4"/>
        <v>1.2</v>
      </c>
      <c r="V30" s="10">
        <f t="shared" si="5"/>
        <v>1.5309470499731193E-2</v>
      </c>
      <c r="W30" s="4">
        <f t="shared" si="6"/>
        <v>1.5309470499731193</v>
      </c>
      <c r="X30" s="9">
        <f t="shared" si="13"/>
        <v>203465871.09782529</v>
      </c>
    </row>
    <row r="31" spans="2:24">
      <c r="J31" s="2">
        <v>28</v>
      </c>
      <c r="K31" s="4">
        <f t="shared" si="18"/>
        <v>54282.748161300799</v>
      </c>
      <c r="L31" s="2">
        <v>50</v>
      </c>
      <c r="M31" s="2">
        <f t="shared" si="1"/>
        <v>1.5</v>
      </c>
      <c r="N31" s="3">
        <f t="shared" si="2"/>
        <v>3.436608313191658E-2</v>
      </c>
      <c r="O31" s="4">
        <f t="shared" si="3"/>
        <v>3.436608313191658</v>
      </c>
      <c r="P31" s="4">
        <f t="shared" si="17"/>
        <v>56148.233597240956</v>
      </c>
      <c r="R31" s="2">
        <v>28</v>
      </c>
      <c r="S31" s="9">
        <f t="shared" si="12"/>
        <v>203465871.09782529</v>
      </c>
      <c r="T31" s="2">
        <v>20</v>
      </c>
      <c r="U31" s="4">
        <f t="shared" si="4"/>
        <v>1.2</v>
      </c>
      <c r="V31" s="10">
        <f t="shared" si="5"/>
        <v>1.5309470499731193E-2</v>
      </c>
      <c r="W31" s="4">
        <f t="shared" si="6"/>
        <v>1.5309470499731193</v>
      </c>
      <c r="X31" s="9">
        <f t="shared" si="13"/>
        <v>206580825.84909955</v>
      </c>
    </row>
    <row r="32" spans="2:24">
      <c r="J32" s="2">
        <v>29</v>
      </c>
      <c r="K32" s="4">
        <f t="shared" si="18"/>
        <v>56148.233597240956</v>
      </c>
      <c r="L32" s="2">
        <v>50</v>
      </c>
      <c r="M32" s="2">
        <f t="shared" si="1"/>
        <v>1.5</v>
      </c>
      <c r="N32" s="3">
        <f t="shared" si="2"/>
        <v>3.436608313191658E-2</v>
      </c>
      <c r="O32" s="4">
        <f t="shared" si="3"/>
        <v>3.436608313191658</v>
      </c>
      <c r="P32" s="4">
        <f t="shared" si="17"/>
        <v>58077.828460754012</v>
      </c>
      <c r="R32" s="2">
        <v>29</v>
      </c>
      <c r="S32" s="9">
        <f t="shared" si="12"/>
        <v>206580825.84909955</v>
      </c>
      <c r="T32" s="2">
        <v>20</v>
      </c>
      <c r="U32" s="4">
        <f t="shared" si="4"/>
        <v>1.2</v>
      </c>
      <c r="V32" s="10">
        <f t="shared" si="5"/>
        <v>1.5309470499731193E-2</v>
      </c>
      <c r="W32" s="4">
        <f t="shared" si="6"/>
        <v>1.5309470499731193</v>
      </c>
      <c r="X32" s="9">
        <f t="shared" si="13"/>
        <v>209743468.90824646</v>
      </c>
    </row>
    <row r="33" spans="10:24">
      <c r="J33" s="2">
        <v>30</v>
      </c>
      <c r="K33" s="4">
        <f t="shared" si="18"/>
        <v>58077.828460754012</v>
      </c>
      <c r="L33" s="2">
        <v>50</v>
      </c>
      <c r="M33" s="2">
        <f t="shared" si="1"/>
        <v>1.5</v>
      </c>
      <c r="N33" s="3">
        <f t="shared" si="2"/>
        <v>3.436608313191658E-2</v>
      </c>
      <c r="O33" s="4">
        <f t="shared" si="3"/>
        <v>3.436608313191658</v>
      </c>
      <c r="P33" s="4">
        <f t="shared" si="17"/>
        <v>60073.735941757477</v>
      </c>
      <c r="R33" s="2">
        <v>30</v>
      </c>
      <c r="S33" s="9">
        <f t="shared" si="12"/>
        <v>209743468.90824646</v>
      </c>
      <c r="T33" s="2">
        <v>20</v>
      </c>
      <c r="U33" s="4">
        <f t="shared" si="4"/>
        <v>1.2</v>
      </c>
      <c r="V33" s="10">
        <f t="shared" si="5"/>
        <v>1.5309470499731193E-2</v>
      </c>
      <c r="W33" s="4">
        <f t="shared" si="6"/>
        <v>1.5309470499731193</v>
      </c>
      <c r="X33" s="9">
        <f t="shared" si="13"/>
        <v>212954530.35800853</v>
      </c>
    </row>
    <row r="34" spans="10:24">
      <c r="J34" s="2">
        <v>31</v>
      </c>
      <c r="K34" s="4">
        <f t="shared" si="18"/>
        <v>60073.735941757477</v>
      </c>
      <c r="L34" s="2">
        <v>50</v>
      </c>
      <c r="M34" s="2">
        <f t="shared" si="1"/>
        <v>1.5</v>
      </c>
      <c r="N34" s="3">
        <f t="shared" si="2"/>
        <v>3.436608313191658E-2</v>
      </c>
      <c r="O34" s="4">
        <f t="shared" si="3"/>
        <v>3.436608313191658</v>
      </c>
      <c r="P34" s="4">
        <f t="shared" si="17"/>
        <v>62138.234945176722</v>
      </c>
      <c r="R34" s="2">
        <v>31</v>
      </c>
      <c r="S34" s="9">
        <f t="shared" si="12"/>
        <v>212954530.35800853</v>
      </c>
      <c r="T34" s="2">
        <v>20</v>
      </c>
      <c r="U34" s="4">
        <f t="shared" si="4"/>
        <v>1.2</v>
      </c>
      <c r="V34" s="10">
        <f t="shared" si="5"/>
        <v>1.5309470499731193E-2</v>
      </c>
      <c r="W34" s="4">
        <f t="shared" si="6"/>
        <v>1.5309470499731193</v>
      </c>
      <c r="X34" s="9">
        <f t="shared" si="13"/>
        <v>216214751.45830858</v>
      </c>
    </row>
    <row r="35" spans="10:24">
      <c r="J35" s="2">
        <v>32</v>
      </c>
      <c r="K35" s="4">
        <f t="shared" si="18"/>
        <v>62138.234945176722</v>
      </c>
      <c r="L35" s="2">
        <v>50</v>
      </c>
      <c r="M35" s="2">
        <f t="shared" si="1"/>
        <v>1.5</v>
      </c>
      <c r="N35" s="3">
        <f t="shared" si="2"/>
        <v>3.436608313191658E-2</v>
      </c>
      <c r="O35" s="4">
        <f t="shared" si="3"/>
        <v>3.436608313191658</v>
      </c>
      <c r="P35" s="4">
        <f t="shared" si="17"/>
        <v>64273.682692973227</v>
      </c>
      <c r="R35" s="2">
        <v>32</v>
      </c>
      <c r="S35" s="9">
        <f t="shared" si="12"/>
        <v>216214751.45830858</v>
      </c>
      <c r="T35" s="2">
        <v>20</v>
      </c>
      <c r="U35" s="4">
        <f t="shared" si="4"/>
        <v>1.2</v>
      </c>
      <c r="V35" s="10">
        <f t="shared" si="5"/>
        <v>1.5309470499731193E-2</v>
      </c>
      <c r="W35" s="4">
        <f t="shared" si="6"/>
        <v>1.5309470499731193</v>
      </c>
      <c r="X35" s="9">
        <f t="shared" si="13"/>
        <v>219524884.81736627</v>
      </c>
    </row>
    <row r="36" spans="10:24">
      <c r="J36" s="2">
        <v>33</v>
      </c>
      <c r="K36" s="4">
        <f t="shared" si="18"/>
        <v>64273.682692973227</v>
      </c>
      <c r="L36" s="2">
        <v>50</v>
      </c>
      <c r="M36" s="2">
        <f t="shared" si="1"/>
        <v>1.5</v>
      </c>
      <c r="N36" s="3">
        <f t="shared" si="2"/>
        <v>3.436608313191658E-2</v>
      </c>
      <c r="O36" s="4">
        <f t="shared" si="3"/>
        <v>3.436608313191658</v>
      </c>
      <c r="P36" s="4">
        <f t="shared" si="17"/>
        <v>66482.517415594368</v>
      </c>
      <c r="R36" s="2">
        <v>33</v>
      </c>
      <c r="S36" s="9">
        <f t="shared" si="12"/>
        <v>219524884.81736627</v>
      </c>
      <c r="T36" s="2">
        <v>20</v>
      </c>
      <c r="U36" s="4">
        <f t="shared" si="4"/>
        <v>1.2</v>
      </c>
      <c r="V36" s="10">
        <f t="shared" si="5"/>
        <v>1.5309470499731193E-2</v>
      </c>
      <c r="W36" s="4">
        <f t="shared" si="6"/>
        <v>1.5309470499731193</v>
      </c>
      <c r="X36" s="9">
        <f t="shared" si="13"/>
        <v>222885694.56543463</v>
      </c>
    </row>
    <row r="37" spans="10:24">
      <c r="J37" s="2">
        <v>34</v>
      </c>
      <c r="K37" s="4">
        <f t="shared" si="18"/>
        <v>66482.517415594368</v>
      </c>
      <c r="L37" s="2">
        <v>50</v>
      </c>
      <c r="M37" s="2">
        <f t="shared" si="1"/>
        <v>1.5</v>
      </c>
      <c r="N37" s="3">
        <f t="shared" si="2"/>
        <v>3.436608313191658E-2</v>
      </c>
      <c r="O37" s="4">
        <f t="shared" si="3"/>
        <v>3.436608313191658</v>
      </c>
      <c r="P37" s="4">
        <f t="shared" si="17"/>
        <v>68767.261135917783</v>
      </c>
      <c r="R37" s="2">
        <v>34</v>
      </c>
      <c r="S37" s="9">
        <f t="shared" si="12"/>
        <v>222885694.56543463</v>
      </c>
      <c r="T37" s="2">
        <v>20</v>
      </c>
      <c r="U37" s="4">
        <f t="shared" si="4"/>
        <v>1.2</v>
      </c>
      <c r="V37" s="10">
        <f t="shared" si="5"/>
        <v>1.5309470499731193E-2</v>
      </c>
      <c r="W37" s="4">
        <f t="shared" si="6"/>
        <v>1.5309470499731193</v>
      </c>
      <c r="X37" s="9">
        <f t="shared" si="13"/>
        <v>226297956.53119627</v>
      </c>
    </row>
    <row r="38" spans="10:24">
      <c r="J38" s="2">
        <v>35</v>
      </c>
      <c r="K38" s="4">
        <f t="shared" si="18"/>
        <v>68767.261135917783</v>
      </c>
      <c r="L38" s="2">
        <v>50</v>
      </c>
      <c r="M38" s="2">
        <f t="shared" si="1"/>
        <v>1.5</v>
      </c>
      <c r="N38" s="3">
        <f t="shared" si="2"/>
        <v>3.436608313191658E-2</v>
      </c>
      <c r="O38" s="4">
        <f t="shared" si="3"/>
        <v>3.436608313191658</v>
      </c>
      <c r="P38" s="4">
        <f t="shared" si="17"/>
        <v>71130.522548868947</v>
      </c>
      <c r="R38" s="2">
        <v>35</v>
      </c>
      <c r="S38" s="9">
        <f t="shared" si="12"/>
        <v>226297956.53119627</v>
      </c>
      <c r="T38" s="2">
        <v>20</v>
      </c>
      <c r="U38" s="4">
        <f t="shared" si="4"/>
        <v>1.2</v>
      </c>
      <c r="V38" s="10">
        <f t="shared" si="5"/>
        <v>1.5309470499731193E-2</v>
      </c>
      <c r="W38" s="4">
        <f t="shared" si="6"/>
        <v>1.5309470499731193</v>
      </c>
      <c r="X38" s="9">
        <f t="shared" si="13"/>
        <v>229762458.42086008</v>
      </c>
    </row>
    <row r="39" spans="10:24">
      <c r="J39" s="2">
        <v>36</v>
      </c>
      <c r="K39" s="4">
        <f t="shared" si="18"/>
        <v>71130.522548868947</v>
      </c>
      <c r="L39" s="2">
        <v>50</v>
      </c>
      <c r="M39" s="2">
        <f t="shared" si="1"/>
        <v>1.5</v>
      </c>
      <c r="N39" s="3">
        <f t="shared" si="2"/>
        <v>3.436608313191658E-2</v>
      </c>
      <c r="O39" s="4">
        <f t="shared" si="3"/>
        <v>3.436608313191658</v>
      </c>
      <c r="P39" s="4">
        <f t="shared" si="17"/>
        <v>73575.000000000044</v>
      </c>
      <c r="R39" s="2">
        <v>36</v>
      </c>
      <c r="S39" s="9">
        <f t="shared" si="12"/>
        <v>229762458.42086008</v>
      </c>
      <c r="T39" s="2">
        <v>20</v>
      </c>
      <c r="U39" s="4">
        <f t="shared" si="4"/>
        <v>1.2</v>
      </c>
      <c r="V39" s="10">
        <f t="shared" si="5"/>
        <v>1.5309470499731193E-2</v>
      </c>
      <c r="W39" s="4">
        <f t="shared" si="6"/>
        <v>1.5309470499731193</v>
      </c>
      <c r="X39" s="9">
        <f t="shared" si="13"/>
        <v>233279999.99999994</v>
      </c>
    </row>
    <row r="40" spans="10:24">
      <c r="J40" s="2">
        <v>37</v>
      </c>
      <c r="K40" s="4">
        <f t="shared" si="18"/>
        <v>73575.000000000044</v>
      </c>
      <c r="L40" s="2">
        <v>50</v>
      </c>
      <c r="M40" s="2">
        <f t="shared" si="1"/>
        <v>1.5</v>
      </c>
      <c r="N40" s="3">
        <f t="shared" si="2"/>
        <v>3.436608313191658E-2</v>
      </c>
      <c r="O40" s="4">
        <f t="shared" si="3"/>
        <v>3.436608313191658</v>
      </c>
      <c r="P40" s="4">
        <f t="shared" si="17"/>
        <v>76103.484566430809</v>
      </c>
      <c r="R40" s="2">
        <v>37</v>
      </c>
      <c r="S40" s="9">
        <f t="shared" si="12"/>
        <v>233279999.99999994</v>
      </c>
      <c r="T40" s="2">
        <v>20</v>
      </c>
      <c r="U40" s="4">
        <f t="shared" si="4"/>
        <v>1.2</v>
      </c>
      <c r="V40" s="10">
        <f t="shared" si="5"/>
        <v>1.5309470499731193E-2</v>
      </c>
      <c r="W40" s="4">
        <f t="shared" si="6"/>
        <v>1.5309470499731193</v>
      </c>
      <c r="X40" s="9">
        <f t="shared" si="13"/>
        <v>236851393.27817723</v>
      </c>
    </row>
    <row r="41" spans="10:24">
      <c r="J41" s="2">
        <v>38</v>
      </c>
      <c r="K41" s="4">
        <f t="shared" si="18"/>
        <v>76103.484566430809</v>
      </c>
      <c r="L41" s="2">
        <v>50</v>
      </c>
      <c r="M41" s="2">
        <f t="shared" si="1"/>
        <v>1.5</v>
      </c>
      <c r="N41" s="3">
        <f t="shared" si="2"/>
        <v>3.436608313191658E-2</v>
      </c>
      <c r="O41" s="4">
        <f t="shared" si="3"/>
        <v>3.436608313191658</v>
      </c>
      <c r="P41" s="4">
        <f t="shared" si="17"/>
        <v>78718.863243669301</v>
      </c>
      <c r="R41" s="2">
        <v>38</v>
      </c>
      <c r="S41" s="9">
        <f t="shared" si="12"/>
        <v>236851393.27817723</v>
      </c>
      <c r="T41" s="2">
        <v>20</v>
      </c>
      <c r="U41" s="4">
        <f t="shared" si="4"/>
        <v>1.2</v>
      </c>
      <c r="V41" s="10">
        <f t="shared" si="5"/>
        <v>1.5309470499731193E-2</v>
      </c>
      <c r="W41" s="4">
        <f t="shared" si="6"/>
        <v>1.5309470499731193</v>
      </c>
      <c r="X41" s="9">
        <f t="shared" si="13"/>
        <v>240477462.6963897</v>
      </c>
    </row>
    <row r="42" spans="10:24">
      <c r="J42" s="2">
        <v>39</v>
      </c>
      <c r="K42" s="4">
        <f t="shared" si="18"/>
        <v>78718.863243669301</v>
      </c>
      <c r="L42" s="2">
        <v>50</v>
      </c>
      <c r="M42" s="2">
        <f t="shared" si="1"/>
        <v>1.5</v>
      </c>
      <c r="N42" s="3">
        <f t="shared" si="2"/>
        <v>3.436608313191658E-2</v>
      </c>
      <c r="O42" s="4">
        <f t="shared" si="3"/>
        <v>3.436608313191658</v>
      </c>
      <c r="P42" s="4">
        <f t="shared" si="17"/>
        <v>81424.122241951205</v>
      </c>
      <c r="R42" s="2">
        <v>39</v>
      </c>
      <c r="S42" s="9">
        <f t="shared" si="12"/>
        <v>240477462.6963897</v>
      </c>
      <c r="T42" s="2">
        <v>20</v>
      </c>
      <c r="U42" s="4">
        <f t="shared" si="4"/>
        <v>1.2</v>
      </c>
      <c r="V42" s="10">
        <f t="shared" si="5"/>
        <v>1.5309470499731193E-2</v>
      </c>
      <c r="W42" s="4">
        <f t="shared" si="6"/>
        <v>1.5309470499731193</v>
      </c>
      <c r="X42" s="9">
        <f t="shared" si="13"/>
        <v>244159045.31739029</v>
      </c>
    </row>
    <row r="43" spans="10:24">
      <c r="J43" s="2">
        <v>40</v>
      </c>
      <c r="K43" s="4">
        <f t="shared" si="18"/>
        <v>81424.122241951205</v>
      </c>
      <c r="L43" s="2">
        <v>50</v>
      </c>
      <c r="M43" s="2">
        <f t="shared" si="1"/>
        <v>1.5</v>
      </c>
      <c r="N43" s="3">
        <f t="shared" si="2"/>
        <v>3.436608313191658E-2</v>
      </c>
      <c r="O43" s="4">
        <f t="shared" si="3"/>
        <v>3.436608313191658</v>
      </c>
      <c r="P43" s="4">
        <f t="shared" si="17"/>
        <v>84222.350395861431</v>
      </c>
      <c r="R43" s="2">
        <v>40</v>
      </c>
      <c r="S43" s="9">
        <f t="shared" si="12"/>
        <v>244159045.31739029</v>
      </c>
      <c r="T43" s="2">
        <v>20</v>
      </c>
      <c r="U43" s="4">
        <f t="shared" si="4"/>
        <v>1.2</v>
      </c>
      <c r="V43" s="10">
        <f t="shared" si="5"/>
        <v>1.5309470499731193E-2</v>
      </c>
      <c r="W43" s="4">
        <f t="shared" si="6"/>
        <v>1.5309470499731193</v>
      </c>
      <c r="X43" s="9">
        <f t="shared" si="13"/>
        <v>247896991.01891941</v>
      </c>
    </row>
    <row r="44" spans="10:24">
      <c r="J44" s="2">
        <v>41</v>
      </c>
      <c r="K44" s="4">
        <f t="shared" si="18"/>
        <v>84222.350395861431</v>
      </c>
      <c r="L44" s="2">
        <v>50</v>
      </c>
      <c r="M44" s="2">
        <f t="shared" si="1"/>
        <v>1.5</v>
      </c>
      <c r="N44" s="3">
        <f t="shared" si="2"/>
        <v>3.436608313191658E-2</v>
      </c>
      <c r="O44" s="4">
        <f t="shared" si="3"/>
        <v>3.436608313191658</v>
      </c>
      <c r="P44" s="4">
        <f t="shared" si="17"/>
        <v>87116.742691131018</v>
      </c>
      <c r="R44" s="2">
        <v>41</v>
      </c>
      <c r="S44" s="9">
        <f t="shared" si="12"/>
        <v>247896991.01891941</v>
      </c>
      <c r="T44" s="2">
        <v>20</v>
      </c>
      <c r="U44" s="4">
        <f t="shared" si="4"/>
        <v>1.2</v>
      </c>
      <c r="V44" s="10">
        <f t="shared" si="5"/>
        <v>1.5309470499731193E-2</v>
      </c>
      <c r="W44" s="4">
        <f t="shared" si="6"/>
        <v>1.5309470499731193</v>
      </c>
      <c r="X44" s="9">
        <f t="shared" si="13"/>
        <v>251692162.68989569</v>
      </c>
    </row>
    <row r="45" spans="10:24">
      <c r="J45" s="2">
        <v>42</v>
      </c>
      <c r="K45" s="4">
        <f t="shared" si="18"/>
        <v>87116.742691131018</v>
      </c>
      <c r="L45" s="2">
        <v>50</v>
      </c>
      <c r="M45" s="2">
        <f t="shared" si="1"/>
        <v>1.5</v>
      </c>
      <c r="N45" s="3">
        <f t="shared" si="2"/>
        <v>3.436608313191658E-2</v>
      </c>
      <c r="O45" s="4">
        <f t="shared" si="3"/>
        <v>3.436608313191658</v>
      </c>
      <c r="P45" s="4">
        <f t="shared" si="17"/>
        <v>90110.603912636216</v>
      </c>
      <c r="R45" s="2">
        <v>42</v>
      </c>
      <c r="S45" s="9">
        <f t="shared" si="12"/>
        <v>251692162.68989569</v>
      </c>
      <c r="T45" s="2">
        <v>20</v>
      </c>
      <c r="U45" s="4">
        <f t="shared" si="4"/>
        <v>1.2</v>
      </c>
      <c r="V45" s="10">
        <f t="shared" si="5"/>
        <v>1.5309470499731193E-2</v>
      </c>
      <c r="W45" s="4">
        <f t="shared" si="6"/>
        <v>1.5309470499731193</v>
      </c>
      <c r="X45" s="9">
        <f t="shared" si="13"/>
        <v>255545436.42961019</v>
      </c>
    </row>
    <row r="46" spans="10:24">
      <c r="J46" s="2">
        <v>43</v>
      </c>
      <c r="K46" s="4">
        <f t="shared" si="18"/>
        <v>90110.603912636216</v>
      </c>
      <c r="L46" s="2">
        <v>50</v>
      </c>
      <c r="M46" s="2">
        <f t="shared" si="1"/>
        <v>1.5</v>
      </c>
      <c r="N46" s="3">
        <f t="shared" si="2"/>
        <v>3.436608313191658E-2</v>
      </c>
      <c r="O46" s="4">
        <f t="shared" si="3"/>
        <v>3.436608313191658</v>
      </c>
      <c r="P46" s="4">
        <f t="shared" si="17"/>
        <v>93207.352417765083</v>
      </c>
      <c r="R46" s="2">
        <v>43</v>
      </c>
      <c r="S46" s="9">
        <f t="shared" si="12"/>
        <v>255545436.42961019</v>
      </c>
      <c r="T46" s="2">
        <v>20</v>
      </c>
      <c r="U46" s="4">
        <f t="shared" si="4"/>
        <v>1.2</v>
      </c>
      <c r="V46" s="10">
        <f t="shared" si="5"/>
        <v>1.5309470499731193E-2</v>
      </c>
      <c r="W46" s="4">
        <f t="shared" si="6"/>
        <v>1.5309470499731193</v>
      </c>
      <c r="X46" s="9">
        <f t="shared" si="13"/>
        <v>259457701.74997026</v>
      </c>
    </row>
    <row r="47" spans="10:24">
      <c r="J47" s="2">
        <v>44</v>
      </c>
      <c r="K47" s="4">
        <f t="shared" si="18"/>
        <v>93207.352417765083</v>
      </c>
      <c r="L47" s="2">
        <v>50</v>
      </c>
      <c r="M47" s="2">
        <f t="shared" si="1"/>
        <v>1.5</v>
      </c>
      <c r="N47" s="3">
        <f t="shared" si="2"/>
        <v>3.436608313191658E-2</v>
      </c>
      <c r="O47" s="4">
        <f t="shared" si="3"/>
        <v>3.436608313191658</v>
      </c>
      <c r="P47" s="4">
        <f t="shared" si="17"/>
        <v>96410.524039459851</v>
      </c>
      <c r="R47" s="2">
        <v>44</v>
      </c>
      <c r="S47" s="9">
        <f t="shared" si="12"/>
        <v>259457701.74997026</v>
      </c>
      <c r="T47" s="2">
        <v>20</v>
      </c>
      <c r="U47" s="4">
        <f t="shared" si="4"/>
        <v>1.2</v>
      </c>
      <c r="V47" s="10">
        <f t="shared" si="5"/>
        <v>1.5309470499731193E-2</v>
      </c>
      <c r="W47" s="4">
        <f t="shared" si="6"/>
        <v>1.5309470499731193</v>
      </c>
      <c r="X47" s="9">
        <f t="shared" si="13"/>
        <v>263429861.78083947</v>
      </c>
    </row>
    <row r="48" spans="10:24">
      <c r="J48" s="2">
        <v>45</v>
      </c>
      <c r="K48" s="4">
        <f t="shared" si="18"/>
        <v>96410.524039459851</v>
      </c>
      <c r="L48" s="2">
        <v>50</v>
      </c>
      <c r="M48" s="2">
        <f t="shared" si="1"/>
        <v>1.5</v>
      </c>
      <c r="N48" s="3">
        <f t="shared" si="2"/>
        <v>3.436608313191658E-2</v>
      </c>
      <c r="O48" s="4">
        <f t="shared" si="3"/>
        <v>3.436608313191658</v>
      </c>
      <c r="P48" s="4">
        <f t="shared" si="17"/>
        <v>99723.776123391566</v>
      </c>
      <c r="R48" s="2">
        <v>45</v>
      </c>
      <c r="S48" s="9">
        <f t="shared" si="12"/>
        <v>263429861.78083947</v>
      </c>
      <c r="T48" s="2">
        <v>20</v>
      </c>
      <c r="U48" s="4">
        <f t="shared" si="4"/>
        <v>1.2</v>
      </c>
      <c r="V48" s="10">
        <f t="shared" si="5"/>
        <v>1.5309470499731193E-2</v>
      </c>
      <c r="W48" s="4">
        <f t="shared" si="6"/>
        <v>1.5309470499731193</v>
      </c>
      <c r="X48" s="9">
        <f t="shared" si="13"/>
        <v>267462833.4785215</v>
      </c>
    </row>
    <row r="49" spans="10:24">
      <c r="J49" s="2">
        <v>46</v>
      </c>
      <c r="K49" s="4">
        <f t="shared" si="18"/>
        <v>99723.776123391566</v>
      </c>
      <c r="L49" s="2">
        <v>50</v>
      </c>
      <c r="M49" s="2">
        <f t="shared" si="1"/>
        <v>1.5</v>
      </c>
      <c r="N49" s="3">
        <f t="shared" si="2"/>
        <v>3.436608313191658E-2</v>
      </c>
      <c r="O49" s="4">
        <f t="shared" si="3"/>
        <v>3.436608313191658</v>
      </c>
      <c r="P49" s="4">
        <f t="shared" si="17"/>
        <v>103150.89170387668</v>
      </c>
      <c r="R49" s="2">
        <v>46</v>
      </c>
      <c r="S49" s="9">
        <f t="shared" si="12"/>
        <v>267462833.4785215</v>
      </c>
      <c r="T49" s="2">
        <v>20</v>
      </c>
      <c r="U49" s="4">
        <f t="shared" si="4"/>
        <v>1.2</v>
      </c>
      <c r="V49" s="10">
        <f t="shared" si="5"/>
        <v>1.5309470499731193E-2</v>
      </c>
      <c r="W49" s="4">
        <f t="shared" si="6"/>
        <v>1.5309470499731193</v>
      </c>
      <c r="X49" s="9">
        <f t="shared" si="13"/>
        <v>271557547.83743542</v>
      </c>
    </row>
    <row r="50" spans="10:24">
      <c r="J50" s="2">
        <v>47</v>
      </c>
      <c r="K50" s="4">
        <f t="shared" si="18"/>
        <v>103150.89170387668</v>
      </c>
      <c r="L50" s="2">
        <v>50</v>
      </c>
      <c r="M50" s="2">
        <f t="shared" si="1"/>
        <v>1.5</v>
      </c>
      <c r="N50" s="3">
        <f t="shared" si="2"/>
        <v>3.436608313191658E-2</v>
      </c>
      <c r="O50" s="4">
        <f t="shared" si="3"/>
        <v>3.436608313191658</v>
      </c>
      <c r="P50" s="4">
        <f t="shared" si="17"/>
        <v>106695.78382330343</v>
      </c>
      <c r="R50" s="2">
        <v>47</v>
      </c>
      <c r="S50" s="9">
        <f t="shared" si="12"/>
        <v>271557547.83743542</v>
      </c>
      <c r="T50" s="2">
        <v>20</v>
      </c>
      <c r="U50" s="4">
        <f t="shared" si="4"/>
        <v>1.2</v>
      </c>
      <c r="V50" s="10">
        <f t="shared" si="5"/>
        <v>1.5309470499731193E-2</v>
      </c>
      <c r="W50" s="4">
        <f t="shared" si="6"/>
        <v>1.5309470499731193</v>
      </c>
      <c r="X50" s="9">
        <f t="shared" si="13"/>
        <v>275714950.10503197</v>
      </c>
    </row>
    <row r="51" spans="10:24">
      <c r="J51" s="2">
        <v>48</v>
      </c>
      <c r="K51" s="4">
        <f t="shared" si="18"/>
        <v>106695.78382330343</v>
      </c>
      <c r="L51" s="2">
        <v>50</v>
      </c>
      <c r="M51" s="2">
        <f t="shared" si="1"/>
        <v>1.5</v>
      </c>
      <c r="N51" s="3">
        <f t="shared" si="2"/>
        <v>3.436608313191658E-2</v>
      </c>
      <c r="O51" s="4">
        <f t="shared" si="3"/>
        <v>3.436608313191658</v>
      </c>
      <c r="P51" s="4">
        <f t="shared" si="17"/>
        <v>110362.50000000007</v>
      </c>
      <c r="R51" s="2">
        <v>48</v>
      </c>
      <c r="S51" s="9">
        <f t="shared" si="12"/>
        <v>275714950.10503197</v>
      </c>
      <c r="T51" s="2">
        <v>20</v>
      </c>
      <c r="U51" s="4">
        <f t="shared" si="4"/>
        <v>1.2</v>
      </c>
      <c r="V51" s="10">
        <f t="shared" si="5"/>
        <v>1.5309470499731193E-2</v>
      </c>
      <c r="W51" s="4">
        <f t="shared" si="6"/>
        <v>1.5309470499731193</v>
      </c>
      <c r="X51" s="9">
        <f t="shared" si="13"/>
        <v>279935999.99999982</v>
      </c>
    </row>
    <row r="52" spans="10:24">
      <c r="J52" s="2">
        <v>49</v>
      </c>
      <c r="K52" s="4">
        <f t="shared" si="18"/>
        <v>110362.50000000007</v>
      </c>
      <c r="L52" s="2">
        <v>50</v>
      </c>
      <c r="M52" s="2">
        <f t="shared" si="1"/>
        <v>1.5</v>
      </c>
      <c r="N52" s="3">
        <f t="shared" si="2"/>
        <v>3.436608313191658E-2</v>
      </c>
      <c r="O52" s="4">
        <f t="shared" si="3"/>
        <v>3.436608313191658</v>
      </c>
      <c r="P52" s="4">
        <f t="shared" si="17"/>
        <v>114155.22684964622</v>
      </c>
      <c r="R52" s="2">
        <v>49</v>
      </c>
      <c r="S52" s="9">
        <f t="shared" si="12"/>
        <v>279935999.99999982</v>
      </c>
      <c r="T52" s="2">
        <v>20</v>
      </c>
      <c r="U52" s="4">
        <f t="shared" si="4"/>
        <v>1.2</v>
      </c>
      <c r="V52" s="10">
        <f t="shared" si="5"/>
        <v>1.5309470499731193E-2</v>
      </c>
      <c r="W52" s="4">
        <f t="shared" si="6"/>
        <v>1.5309470499731193</v>
      </c>
      <c r="X52" s="9">
        <f t="shared" si="13"/>
        <v>284221671.93381256</v>
      </c>
    </row>
    <row r="53" spans="10:24">
      <c r="J53" s="2">
        <v>50</v>
      </c>
      <c r="K53" s="4">
        <f t="shared" si="18"/>
        <v>114155.22684964622</v>
      </c>
      <c r="L53" s="2">
        <v>50</v>
      </c>
      <c r="M53" s="2">
        <f t="shared" si="1"/>
        <v>1.5</v>
      </c>
      <c r="N53" s="3">
        <f t="shared" si="2"/>
        <v>3.436608313191658E-2</v>
      </c>
      <c r="O53" s="4">
        <f t="shared" si="3"/>
        <v>3.436608313191658</v>
      </c>
      <c r="P53" s="4">
        <f t="shared" si="17"/>
        <v>118078.29486550395</v>
      </c>
      <c r="R53" s="2">
        <v>50</v>
      </c>
      <c r="S53" s="9">
        <f t="shared" si="12"/>
        <v>284221671.93381256</v>
      </c>
      <c r="T53" s="2">
        <v>20</v>
      </c>
      <c r="U53" s="4">
        <f t="shared" si="4"/>
        <v>1.2</v>
      </c>
      <c r="V53" s="10">
        <f t="shared" si="5"/>
        <v>1.5309470499731193E-2</v>
      </c>
      <c r="W53" s="4">
        <f t="shared" si="6"/>
        <v>1.5309470499731193</v>
      </c>
      <c r="X53" s="9">
        <f t="shared" si="13"/>
        <v>288572955.23566753</v>
      </c>
    </row>
    <row r="54" spans="10:24">
      <c r="J54" s="2">
        <v>51</v>
      </c>
      <c r="K54" s="4">
        <f t="shared" si="18"/>
        <v>118078.29486550395</v>
      </c>
      <c r="L54" s="2">
        <v>50</v>
      </c>
      <c r="M54" s="2">
        <f t="shared" si="1"/>
        <v>1.5</v>
      </c>
      <c r="N54" s="3">
        <f t="shared" si="2"/>
        <v>3.436608313191658E-2</v>
      </c>
      <c r="O54" s="4">
        <f t="shared" si="3"/>
        <v>3.436608313191658</v>
      </c>
      <c r="P54" s="4">
        <f t="shared" si="17"/>
        <v>122136.18336292682</v>
      </c>
      <c r="R54" s="2">
        <v>51</v>
      </c>
      <c r="S54" s="9">
        <f t="shared" si="12"/>
        <v>288572955.23566753</v>
      </c>
      <c r="T54" s="2">
        <v>20</v>
      </c>
      <c r="U54" s="4">
        <f t="shared" si="4"/>
        <v>1.2</v>
      </c>
      <c r="V54" s="10">
        <f t="shared" si="5"/>
        <v>1.5309470499731193E-2</v>
      </c>
      <c r="W54" s="4">
        <f t="shared" si="6"/>
        <v>1.5309470499731193</v>
      </c>
      <c r="X54" s="9">
        <f t="shared" si="13"/>
        <v>292990854.38086826</v>
      </c>
    </row>
    <row r="55" spans="10:24">
      <c r="J55" s="2">
        <v>52</v>
      </c>
      <c r="K55" s="4">
        <f t="shared" si="18"/>
        <v>122136.18336292682</v>
      </c>
      <c r="L55" s="2">
        <v>50</v>
      </c>
      <c r="M55" s="2">
        <f t="shared" si="1"/>
        <v>1.5</v>
      </c>
      <c r="N55" s="3">
        <f t="shared" si="2"/>
        <v>3.436608313191658E-2</v>
      </c>
      <c r="O55" s="4">
        <f t="shared" si="3"/>
        <v>3.436608313191658</v>
      </c>
      <c r="P55" s="4">
        <f t="shared" si="17"/>
        <v>126333.52559379218</v>
      </c>
      <c r="R55" s="2">
        <v>52</v>
      </c>
      <c r="S55" s="9">
        <f t="shared" si="12"/>
        <v>292990854.38086826</v>
      </c>
      <c r="T55" s="2">
        <v>20</v>
      </c>
      <c r="U55" s="4">
        <f t="shared" si="4"/>
        <v>1.2</v>
      </c>
      <c r="V55" s="10">
        <f t="shared" si="5"/>
        <v>1.5309470499731193E-2</v>
      </c>
      <c r="W55" s="4">
        <f t="shared" si="6"/>
        <v>1.5309470499731193</v>
      </c>
      <c r="X55" s="9">
        <f t="shared" si="13"/>
        <v>297476389.22270322</v>
      </c>
    </row>
    <row r="56" spans="10:24">
      <c r="J56" s="2">
        <v>53</v>
      </c>
      <c r="K56" s="4">
        <f t="shared" si="18"/>
        <v>126333.52559379218</v>
      </c>
      <c r="L56" s="2">
        <v>50</v>
      </c>
      <c r="M56" s="2">
        <f t="shared" si="1"/>
        <v>1.5</v>
      </c>
      <c r="N56" s="3">
        <f t="shared" si="2"/>
        <v>3.436608313191658E-2</v>
      </c>
      <c r="O56" s="4">
        <f t="shared" si="3"/>
        <v>3.436608313191658</v>
      </c>
      <c r="P56" s="4">
        <f t="shared" si="17"/>
        <v>130675.11403669656</v>
      </c>
      <c r="R56" s="2">
        <v>53</v>
      </c>
      <c r="S56" s="9">
        <f t="shared" si="12"/>
        <v>297476389.22270322</v>
      </c>
      <c r="T56" s="2">
        <v>20</v>
      </c>
      <c r="U56" s="4">
        <f t="shared" si="4"/>
        <v>1.2</v>
      </c>
      <c r="V56" s="10">
        <f t="shared" si="5"/>
        <v>1.5309470499731193E-2</v>
      </c>
      <c r="W56" s="4">
        <f t="shared" si="6"/>
        <v>1.5309470499731193</v>
      </c>
      <c r="X56" s="9">
        <f t="shared" si="13"/>
        <v>302030595.22787476</v>
      </c>
    </row>
    <row r="57" spans="10:24">
      <c r="J57" s="2">
        <v>54</v>
      </c>
      <c r="K57" s="4">
        <f t="shared" si="18"/>
        <v>130675.11403669656</v>
      </c>
      <c r="L57" s="2">
        <v>50</v>
      </c>
      <c r="M57" s="2">
        <f t="shared" si="1"/>
        <v>1.5</v>
      </c>
      <c r="N57" s="3">
        <f t="shared" si="2"/>
        <v>3.436608313191658E-2</v>
      </c>
      <c r="O57" s="4">
        <f t="shared" si="3"/>
        <v>3.436608313191658</v>
      </c>
      <c r="P57" s="4">
        <f t="shared" si="17"/>
        <v>135165.90586895435</v>
      </c>
      <c r="R57" s="2">
        <v>54</v>
      </c>
      <c r="S57" s="9">
        <f t="shared" si="12"/>
        <v>302030595.22787476</v>
      </c>
      <c r="T57" s="2">
        <v>20</v>
      </c>
      <c r="U57" s="4">
        <f t="shared" si="4"/>
        <v>1.2</v>
      </c>
      <c r="V57" s="10">
        <f t="shared" si="5"/>
        <v>1.5309470499731193E-2</v>
      </c>
      <c r="W57" s="4">
        <f t="shared" si="6"/>
        <v>1.5309470499731193</v>
      </c>
      <c r="X57" s="9">
        <f t="shared" si="13"/>
        <v>306654523.71553218</v>
      </c>
    </row>
    <row r="58" spans="10:24">
      <c r="J58" s="2">
        <v>55</v>
      </c>
      <c r="K58" s="4">
        <f t="shared" si="18"/>
        <v>135165.90586895435</v>
      </c>
      <c r="L58" s="2">
        <v>50</v>
      </c>
      <c r="M58" s="2">
        <f t="shared" si="1"/>
        <v>1.5</v>
      </c>
      <c r="N58" s="3">
        <f t="shared" si="2"/>
        <v>3.436608313191658E-2</v>
      </c>
      <c r="O58" s="4">
        <f t="shared" si="3"/>
        <v>3.436608313191658</v>
      </c>
      <c r="P58" s="4">
        <f t="shared" si="17"/>
        <v>139811.02862664763</v>
      </c>
      <c r="R58" s="2">
        <v>55</v>
      </c>
      <c r="S58" s="9">
        <f t="shared" si="12"/>
        <v>306654523.71553218</v>
      </c>
      <c r="T58" s="2">
        <v>20</v>
      </c>
      <c r="U58" s="4">
        <f t="shared" si="4"/>
        <v>1.2</v>
      </c>
      <c r="V58" s="10">
        <f t="shared" si="5"/>
        <v>1.5309470499731193E-2</v>
      </c>
      <c r="W58" s="4">
        <f t="shared" si="6"/>
        <v>1.5309470499731193</v>
      </c>
      <c r="X58" s="9">
        <f t="shared" si="13"/>
        <v>311349242.09996426</v>
      </c>
    </row>
    <row r="59" spans="10:24">
      <c r="J59" s="2">
        <v>56</v>
      </c>
      <c r="K59" s="4">
        <f t="shared" si="18"/>
        <v>139811.02862664763</v>
      </c>
      <c r="L59" s="2">
        <v>50</v>
      </c>
      <c r="M59" s="2">
        <f t="shared" si="1"/>
        <v>1.5</v>
      </c>
      <c r="N59" s="3">
        <f t="shared" si="2"/>
        <v>3.436608313191658E-2</v>
      </c>
      <c r="O59" s="4">
        <f t="shared" si="3"/>
        <v>3.436608313191658</v>
      </c>
      <c r="P59" s="4">
        <f t="shared" si="17"/>
        <v>144615.78605918976</v>
      </c>
      <c r="R59" s="2">
        <v>56</v>
      </c>
      <c r="S59" s="9">
        <f t="shared" si="12"/>
        <v>311349242.09996426</v>
      </c>
      <c r="T59" s="2">
        <v>20</v>
      </c>
      <c r="U59" s="4">
        <f t="shared" si="4"/>
        <v>1.2</v>
      </c>
      <c r="V59" s="10">
        <f t="shared" si="5"/>
        <v>1.5309470499731193E-2</v>
      </c>
      <c r="W59" s="4">
        <f t="shared" si="6"/>
        <v>1.5309470499731193</v>
      </c>
      <c r="X59" s="9">
        <f t="shared" si="13"/>
        <v>316115834.13700736</v>
      </c>
    </row>
    <row r="60" spans="10:24">
      <c r="J60" s="2">
        <v>57</v>
      </c>
      <c r="K60" s="4">
        <f t="shared" si="18"/>
        <v>144615.78605918976</v>
      </c>
      <c r="L60" s="2">
        <v>50</v>
      </c>
      <c r="M60" s="2">
        <f t="shared" si="1"/>
        <v>1.5</v>
      </c>
      <c r="N60" s="3">
        <f t="shared" si="2"/>
        <v>3.436608313191658E-2</v>
      </c>
      <c r="O60" s="4">
        <f t="shared" si="3"/>
        <v>3.436608313191658</v>
      </c>
      <c r="P60" s="4">
        <f t="shared" si="17"/>
        <v>149585.66418508734</v>
      </c>
      <c r="R60" s="2">
        <v>57</v>
      </c>
      <c r="S60" s="9">
        <f t="shared" si="12"/>
        <v>316115834.13700736</v>
      </c>
      <c r="T60" s="2">
        <v>20</v>
      </c>
      <c r="U60" s="4">
        <f t="shared" si="4"/>
        <v>1.2</v>
      </c>
      <c r="V60" s="10">
        <f t="shared" si="5"/>
        <v>1.5309470499731193E-2</v>
      </c>
      <c r="W60" s="4">
        <f t="shared" si="6"/>
        <v>1.5309470499731193</v>
      </c>
      <c r="X60" s="9">
        <f t="shared" si="13"/>
        <v>320955400.17422581</v>
      </c>
    </row>
    <row r="61" spans="10:24">
      <c r="J61" s="2">
        <v>58</v>
      </c>
      <c r="K61" s="4">
        <f t="shared" si="18"/>
        <v>149585.66418508734</v>
      </c>
      <c r="L61" s="2">
        <v>50</v>
      </c>
      <c r="M61" s="2">
        <f t="shared" si="1"/>
        <v>1.5</v>
      </c>
      <c r="N61" s="3">
        <f t="shared" si="2"/>
        <v>3.436608313191658E-2</v>
      </c>
      <c r="O61" s="4">
        <f t="shared" si="3"/>
        <v>3.436608313191658</v>
      </c>
      <c r="P61" s="4">
        <f t="shared" si="17"/>
        <v>154726.337555815</v>
      </c>
      <c r="R61" s="2">
        <v>58</v>
      </c>
      <c r="S61" s="9">
        <f t="shared" si="12"/>
        <v>320955400.17422581</v>
      </c>
      <c r="T61" s="2">
        <v>20</v>
      </c>
      <c r="U61" s="4">
        <f t="shared" si="4"/>
        <v>1.2</v>
      </c>
      <c r="V61" s="10">
        <f t="shared" si="5"/>
        <v>1.5309470499731193E-2</v>
      </c>
      <c r="W61" s="4">
        <f t="shared" si="6"/>
        <v>1.5309470499731193</v>
      </c>
      <c r="X61" s="9">
        <f t="shared" si="13"/>
        <v>325869057.40492254</v>
      </c>
    </row>
    <row r="62" spans="10:24">
      <c r="J62" s="2">
        <v>59</v>
      </c>
      <c r="K62" s="4">
        <f t="shared" si="18"/>
        <v>154726.337555815</v>
      </c>
      <c r="L62" s="2">
        <v>50</v>
      </c>
      <c r="M62" s="2">
        <f t="shared" si="1"/>
        <v>1.5</v>
      </c>
      <c r="N62" s="3">
        <f t="shared" si="2"/>
        <v>3.436608313191658E-2</v>
      </c>
      <c r="O62" s="4">
        <f t="shared" si="3"/>
        <v>3.436608313191658</v>
      </c>
      <c r="P62" s="4">
        <f t="shared" si="17"/>
        <v>160043.67573495512</v>
      </c>
      <c r="R62" s="2">
        <v>59</v>
      </c>
      <c r="S62" s="9">
        <f t="shared" si="12"/>
        <v>325869057.40492254</v>
      </c>
      <c r="T62" s="2">
        <v>20</v>
      </c>
      <c r="U62" s="4">
        <f t="shared" si="4"/>
        <v>1.2</v>
      </c>
      <c r="V62" s="10">
        <f t="shared" si="5"/>
        <v>1.5309470499731193E-2</v>
      </c>
      <c r="W62" s="4">
        <f t="shared" si="6"/>
        <v>1.5309470499731193</v>
      </c>
      <c r="X62" s="9">
        <f t="shared" si="13"/>
        <v>330857940.12603843</v>
      </c>
    </row>
    <row r="63" spans="10:24">
      <c r="J63" s="2">
        <v>60</v>
      </c>
      <c r="K63" s="4">
        <f t="shared" si="18"/>
        <v>160043.67573495512</v>
      </c>
      <c r="L63" s="2">
        <v>50</v>
      </c>
      <c r="M63" s="2">
        <f t="shared" si="1"/>
        <v>1.5</v>
      </c>
      <c r="N63" s="3">
        <f t="shared" si="2"/>
        <v>3.436608313191658E-2</v>
      </c>
      <c r="O63" s="4">
        <f t="shared" si="3"/>
        <v>3.436608313191658</v>
      </c>
      <c r="P63" s="4">
        <f t="shared" si="17"/>
        <v>165543.75000000009</v>
      </c>
      <c r="R63" s="2">
        <v>60</v>
      </c>
      <c r="S63" s="9">
        <f t="shared" si="12"/>
        <v>330857940.12603843</v>
      </c>
      <c r="T63" s="2">
        <v>20</v>
      </c>
      <c r="U63" s="4">
        <f t="shared" si="4"/>
        <v>1.2</v>
      </c>
      <c r="V63" s="10">
        <f t="shared" si="5"/>
        <v>1.5309470499731193E-2</v>
      </c>
      <c r="W63" s="4">
        <f t="shared" si="6"/>
        <v>1.5309470499731193</v>
      </c>
      <c r="X63" s="9">
        <f t="shared" si="13"/>
        <v>335923199.99999982</v>
      </c>
    </row>
  </sheetData>
  <mergeCells count="2">
    <mergeCell ref="B2:H2"/>
    <mergeCell ref="J2:P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2026-02-14T09:05:20Z</dcterms:modified>
</cp:coreProperties>
</file>