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on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<sst xmlns="http://schemas.openxmlformats.org/spreadsheetml/2006/main" count="45" uniqueCount="31">
  <si>
    <t xml:space="preserve">actual investments</t>
  </si>
  <si>
    <t xml:space="preserve">predictive investments</t>
  </si>
  <si>
    <t xml:space="preserve">date</t>
  </si>
  <si>
    <t xml:space="preserve">total</t>
  </si>
  <si>
    <t xml:space="preserve">APY</t>
  </si>
  <si>
    <t xml:space="preserve">yield</t>
  </si>
  <si>
    <t xml:space="preserve">monthly interest rate</t>
  </si>
  <si>
    <t xml:space="preserve">monthly interest rate in %</t>
  </si>
  <si>
    <t xml:space="preserve">total end of month</t>
  </si>
  <si>
    <t xml:space="preserve">01.04.2025</t>
  </si>
  <si>
    <t xml:space="preserve">01.05.2025</t>
  </si>
  <si>
    <t xml:space="preserve">01.06.2025</t>
  </si>
  <si>
    <t xml:space="preserve">01.07.2025</t>
  </si>
  <si>
    <t xml:space="preserve">01.08.2025</t>
  </si>
  <si>
    <t xml:space="preserve">01.09.2025</t>
  </si>
  <si>
    <t xml:space="preserve">01.10.2025</t>
  </si>
  <si>
    <t xml:space="preserve">01.11.2025</t>
  </si>
  <si>
    <t xml:space="preserve">01.12.2025</t>
  </si>
  <si>
    <t xml:space="preserve">01.01.2026</t>
  </si>
  <si>
    <t xml:space="preserve">01.02.2026</t>
  </si>
  <si>
    <t xml:space="preserve">01.03.2026</t>
  </si>
  <si>
    <t xml:space="preserve">01.04.2026</t>
  </si>
  <si>
    <t xml:space="preserve">01.05.2026</t>
  </si>
  <si>
    <t xml:space="preserve">01.06.2026</t>
  </si>
  <si>
    <t xml:space="preserve">01.07.2026</t>
  </si>
  <si>
    <t xml:space="preserve">01.08.2026</t>
  </si>
  <si>
    <t xml:space="preserve">01.09.2026</t>
  </si>
  <si>
    <t xml:space="preserve">01.10.2026</t>
  </si>
  <si>
    <t xml:space="preserve">01.11.2026</t>
  </si>
  <si>
    <t xml:space="preserve">01.12.2026</t>
  </si>
  <si>
    <r>
      <rPr>
        <b val="true"/>
        <sz val="14"/>
        <color theme="1"/>
        <rFont val="Calibri"/>
        <family val="2"/>
        <charset val="1"/>
      </rPr>
      <t xml:space="preserve">Sell rewards if monthly rewards equal 1k+$;
Otherwise restake every 2-4 weeks;
If monthly rewards equal &lt; 330$, increase your stake by buying more coins from market;
</t>
    </r>
    <r>
      <rPr>
        <b val="true"/>
        <sz val="14"/>
        <color theme="1"/>
        <rFont val="Calibri"/>
        <family val="2"/>
      </rPr>
      <t xml:space="preserve">This way your strategy is balanced with income and compounding, thus not losing share of total supply;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</si>
</sst>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%"/>
    <numFmt numFmtId="166" formatCode="0.00000000"/>
    <numFmt numFmtId="167" formatCode="0.00"/>
    <numFmt numFmtId="168" formatCode="0.0000"/>
    <numFmt numFmtId="169" formatCode="#,##0"/>
    <numFmt numFmtId="170" formatCode="0.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2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X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7" activeCellId="0" sqref="H17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2" style="1" width="12.42"/>
    <col collapsed="false" customWidth="true" hidden="false" outlineLevel="0" max="5" min="3" style="1" width="9.14"/>
    <col collapsed="false" customWidth="true" hidden="false" outlineLevel="0" max="8" min="6" style="1" width="14.71"/>
    <col collapsed="false" customWidth="true" hidden="false" outlineLevel="0" max="10" min="10" style="1" width="12.57"/>
    <col collapsed="false" customWidth="true" hidden="false" outlineLevel="0" max="11" min="11" style="1" width="9.71"/>
    <col collapsed="false" customWidth="true" hidden="false" outlineLevel="0" max="13" min="12" style="1" width="9.14"/>
    <col collapsed="false" customWidth="true" hidden="false" outlineLevel="0" max="14" min="14" style="1" width="15"/>
    <col collapsed="false" customWidth="true" hidden="false" outlineLevel="0" max="15" min="15" style="1" width="14.57"/>
    <col collapsed="false" customWidth="true" hidden="false" outlineLevel="0" max="16" min="16" style="1" width="12.57"/>
    <col collapsed="false" customWidth="true" hidden="false" outlineLevel="0" max="18" min="18" style="1" width="9.14"/>
    <col collapsed="false" customWidth="true" hidden="false" outlineLevel="0" max="19" min="19" style="1" width="11.14"/>
    <col collapsed="false" customWidth="true" hidden="false" outlineLevel="0" max="23" min="20" style="1" width="9.14"/>
    <col collapsed="false" customWidth="true" hidden="false" outlineLevel="0" max="24" min="24" style="1" width="12"/>
  </cols>
  <sheetData>
    <row r="2" customFormat="false" ht="15" hidden="false" customHeight="false" outlineLevel="0" collapsed="false">
      <c r="B2" s="2" t="s">
        <v>0</v>
      </c>
      <c r="C2" s="2"/>
      <c r="D2" s="2"/>
      <c r="E2" s="2"/>
      <c r="F2" s="2"/>
      <c r="G2" s="2"/>
      <c r="H2" s="2"/>
      <c r="J2" s="3" t="s">
        <v>1</v>
      </c>
      <c r="K2" s="3"/>
      <c r="L2" s="3"/>
      <c r="M2" s="3"/>
      <c r="N2" s="3"/>
      <c r="O2" s="3"/>
      <c r="P2" s="3"/>
    </row>
    <row r="3" customFormat="false" ht="47.25" hidden="false" customHeight="true" outlineLevel="0" collapsed="false">
      <c r="B3" s="4" t="s">
        <v>2</v>
      </c>
      <c r="C3" s="4" t="s">
        <v>3</v>
      </c>
      <c r="D3" s="5" t="s">
        <v>4</v>
      </c>
      <c r="E3" s="4" t="s">
        <v>5</v>
      </c>
      <c r="F3" s="4" t="s">
        <v>6</v>
      </c>
      <c r="G3" s="4" t="s">
        <v>7</v>
      </c>
      <c r="H3" s="4" t="s">
        <v>8</v>
      </c>
      <c r="J3" s="4" t="s">
        <v>2</v>
      </c>
      <c r="K3" s="4" t="s">
        <v>3</v>
      </c>
      <c r="L3" s="5" t="s">
        <v>4</v>
      </c>
      <c r="M3" s="4" t="s">
        <v>5</v>
      </c>
      <c r="N3" s="4" t="s">
        <v>6</v>
      </c>
      <c r="O3" s="4" t="s">
        <v>7</v>
      </c>
      <c r="P3" s="4" t="s">
        <v>8</v>
      </c>
      <c r="R3" s="4" t="s">
        <v>2</v>
      </c>
      <c r="S3" s="4" t="s">
        <v>3</v>
      </c>
      <c r="T3" s="5" t="s">
        <v>4</v>
      </c>
      <c r="U3" s="4" t="s">
        <v>5</v>
      </c>
      <c r="V3" s="4" t="s">
        <v>6</v>
      </c>
      <c r="W3" s="4" t="s">
        <v>7</v>
      </c>
      <c r="X3" s="4" t="s">
        <v>8</v>
      </c>
    </row>
    <row r="4" customFormat="false" ht="15" hidden="false" customHeight="false" outlineLevel="0" collapsed="false">
      <c r="B4" s="6" t="s">
        <v>9</v>
      </c>
      <c r="C4" s="6" t="n">
        <v>4800</v>
      </c>
      <c r="D4" s="6" t="n">
        <v>50</v>
      </c>
      <c r="E4" s="6" t="n">
        <f aca="false">1+D4/100</f>
        <v>1.5</v>
      </c>
      <c r="F4" s="7" t="n">
        <f aca="false">(E4^(1/12))-1</f>
        <v>0.0343660831319166</v>
      </c>
      <c r="G4" s="8" t="n">
        <f aca="false">F4*100</f>
        <v>3.43660831319166</v>
      </c>
      <c r="H4" s="8" t="n">
        <f aca="false">C4*(1+F4)</f>
        <v>4964.9571990332</v>
      </c>
      <c r="J4" s="6" t="n">
        <v>1</v>
      </c>
      <c r="K4" s="6" t="n">
        <v>42500</v>
      </c>
      <c r="L4" s="6" t="n">
        <v>50</v>
      </c>
      <c r="M4" s="6" t="n">
        <f aca="false">1+L4/100</f>
        <v>1.5</v>
      </c>
      <c r="N4" s="9" t="n">
        <f aca="false">(M4^(1/12))-1</f>
        <v>0.0343660831319166</v>
      </c>
      <c r="O4" s="8" t="n">
        <f aca="false">N4*100</f>
        <v>3.43660831319166</v>
      </c>
      <c r="P4" s="8" t="n">
        <f aca="false">K4*(1+N4)</f>
        <v>43960.5585331065</v>
      </c>
      <c r="R4" s="6" t="n">
        <v>1</v>
      </c>
      <c r="S4" s="10" t="n">
        <v>138000000</v>
      </c>
      <c r="T4" s="6" t="n">
        <v>20</v>
      </c>
      <c r="U4" s="8" t="n">
        <f aca="false">1+T4/100</f>
        <v>1.2</v>
      </c>
      <c r="V4" s="11" t="n">
        <f aca="false">(U4^(1/12))-1</f>
        <v>0.0153094704997312</v>
      </c>
      <c r="W4" s="8" t="n">
        <f aca="false">V4*100</f>
        <v>1.53094704997312</v>
      </c>
      <c r="X4" s="10" t="n">
        <f aca="false">S4*(1+V4)</f>
        <v>140112706.928963</v>
      </c>
    </row>
    <row r="5" customFormat="false" ht="15" hidden="false" customHeight="false" outlineLevel="0" collapsed="false">
      <c r="B5" s="6" t="s">
        <v>10</v>
      </c>
      <c r="C5" s="6" t="n">
        <v>5300</v>
      </c>
      <c r="D5" s="6" t="n">
        <v>50</v>
      </c>
      <c r="E5" s="6" t="n">
        <f aca="false">1+D5/100</f>
        <v>1.5</v>
      </c>
      <c r="F5" s="7" t="n">
        <f aca="false">(E5^(1/12))-1</f>
        <v>0.0343660831319166</v>
      </c>
      <c r="G5" s="8" t="n">
        <f aca="false">F5*100</f>
        <v>3.43660831319166</v>
      </c>
      <c r="H5" s="8" t="n">
        <f aca="false">C5*(1+F5)</f>
        <v>5482.14024059916</v>
      </c>
      <c r="J5" s="6" t="n">
        <v>2</v>
      </c>
      <c r="K5" s="8" t="n">
        <f aca="false">P4</f>
        <v>43960.5585331065</v>
      </c>
      <c r="L5" s="6" t="n">
        <v>50</v>
      </c>
      <c r="M5" s="6" t="n">
        <f aca="false">1+L5/100</f>
        <v>1.5</v>
      </c>
      <c r="N5" s="9" t="n">
        <f aca="false">(M5^(1/12))-1</f>
        <v>0.0343660831319166</v>
      </c>
      <c r="O5" s="8" t="n">
        <f aca="false">N5*100</f>
        <v>3.43660831319166</v>
      </c>
      <c r="P5" s="8" t="n">
        <f aca="false">K5*(1+N5)</f>
        <v>45471.3107421807</v>
      </c>
      <c r="R5" s="6" t="n">
        <v>2</v>
      </c>
      <c r="S5" s="10" t="n">
        <f aca="false">X4</f>
        <v>140112706.928963</v>
      </c>
      <c r="T5" s="6" t="n">
        <v>20</v>
      </c>
      <c r="U5" s="8" t="n">
        <f aca="false">1+T5/100</f>
        <v>1.2</v>
      </c>
      <c r="V5" s="11" t="n">
        <f aca="false">(U5^(1/12))-1</f>
        <v>0.0153094704997312</v>
      </c>
      <c r="W5" s="8" t="n">
        <f aca="false">V5*100</f>
        <v>1.53094704997312</v>
      </c>
      <c r="X5" s="10" t="n">
        <f aca="false">S5*(1+V5)</f>
        <v>142257758.282329</v>
      </c>
    </row>
    <row r="6" customFormat="false" ht="15" hidden="false" customHeight="false" outlineLevel="0" collapsed="false">
      <c r="B6" s="6" t="s">
        <v>11</v>
      </c>
      <c r="C6" s="6" t="n">
        <v>9100</v>
      </c>
      <c r="D6" s="6" t="n">
        <v>50</v>
      </c>
      <c r="E6" s="6" t="n">
        <f aca="false">1+D6/100</f>
        <v>1.5</v>
      </c>
      <c r="F6" s="7" t="n">
        <f aca="false">(E6^(1/12))-1</f>
        <v>0.0343660831319166</v>
      </c>
      <c r="G6" s="8" t="n">
        <f aca="false">F6*100</f>
        <v>3.43660831319166</v>
      </c>
      <c r="H6" s="8" t="n">
        <f aca="false">C6*(1+F6)</f>
        <v>9412.73135650044</v>
      </c>
      <c r="J6" s="6" t="n">
        <v>3</v>
      </c>
      <c r="K6" s="8" t="n">
        <f aca="false">P5</f>
        <v>45471.3107421807</v>
      </c>
      <c r="L6" s="6" t="n">
        <v>50</v>
      </c>
      <c r="M6" s="6" t="n">
        <f aca="false">1+L6/100</f>
        <v>1.5</v>
      </c>
      <c r="N6" s="9" t="n">
        <f aca="false">(M6^(1/12))-1</f>
        <v>0.0343660831319166</v>
      </c>
      <c r="O6" s="8" t="n">
        <f aca="false">N6*100</f>
        <v>3.43660831319166</v>
      </c>
      <c r="P6" s="8" t="n">
        <f aca="false">K6*(1+N6)</f>
        <v>47033.9815872637</v>
      </c>
      <c r="R6" s="6" t="n">
        <v>3</v>
      </c>
      <c r="S6" s="10" t="n">
        <f aca="false">X5</f>
        <v>142257758.282329</v>
      </c>
      <c r="T6" s="6" t="n">
        <v>20</v>
      </c>
      <c r="U6" s="8" t="n">
        <f aca="false">1+T6/100</f>
        <v>1.2</v>
      </c>
      <c r="V6" s="11" t="n">
        <f aca="false">(U6^(1/12))-1</f>
        <v>0.0153094704997312</v>
      </c>
      <c r="W6" s="8" t="n">
        <f aca="false">V6*100</f>
        <v>1.53094704997312</v>
      </c>
      <c r="X6" s="10" t="n">
        <f aca="false">S6*(1+V6)</f>
        <v>144435649.236111</v>
      </c>
    </row>
    <row r="7" customFormat="false" ht="15" hidden="false" customHeight="false" outlineLevel="0" collapsed="false">
      <c r="B7" s="6" t="s">
        <v>12</v>
      </c>
      <c r="C7" s="12" t="n">
        <v>15600</v>
      </c>
      <c r="D7" s="6" t="n">
        <v>50</v>
      </c>
      <c r="E7" s="6" t="n">
        <f aca="false">1+D7/100</f>
        <v>1.5</v>
      </c>
      <c r="F7" s="7" t="n">
        <f aca="false">(E7^(1/12))-1</f>
        <v>0.0343660831319166</v>
      </c>
      <c r="G7" s="8" t="n">
        <f aca="false">F7*100</f>
        <v>3.43660831319166</v>
      </c>
      <c r="H7" s="13" t="n">
        <f aca="false">C7*(1+F7)</f>
        <v>16136.1108968579</v>
      </c>
      <c r="J7" s="6" t="n">
        <v>4</v>
      </c>
      <c r="K7" s="8" t="n">
        <f aca="false">P6</f>
        <v>47033.9815872637</v>
      </c>
      <c r="L7" s="6" t="n">
        <v>50</v>
      </c>
      <c r="M7" s="6" t="n">
        <f aca="false">1+L7/100</f>
        <v>1.5</v>
      </c>
      <c r="N7" s="9" t="n">
        <f aca="false">(M7^(1/12))-1</f>
        <v>0.0343660831319166</v>
      </c>
      <c r="O7" s="8" t="n">
        <f aca="false">N7*100</f>
        <v>3.43660831319166</v>
      </c>
      <c r="P7" s="8" t="n">
        <f aca="false">K7*(1+N7)</f>
        <v>48650.3553085166</v>
      </c>
      <c r="R7" s="6" t="n">
        <v>4</v>
      </c>
      <c r="S7" s="10" t="n">
        <f aca="false">X6</f>
        <v>144435649.236111</v>
      </c>
      <c r="T7" s="6" t="n">
        <v>20</v>
      </c>
      <c r="U7" s="8" t="n">
        <f aca="false">1+T7/100</f>
        <v>1.2</v>
      </c>
      <c r="V7" s="11" t="n">
        <f aca="false">(U7^(1/12))-1</f>
        <v>0.0153094704997312</v>
      </c>
      <c r="W7" s="8" t="n">
        <f aca="false">V7*100</f>
        <v>1.53094704997312</v>
      </c>
      <c r="X7" s="10" t="n">
        <f aca="false">S7*(1+V7)</f>
        <v>146646882.5472</v>
      </c>
    </row>
    <row r="8" customFormat="false" ht="15" hidden="false" customHeight="false" outlineLevel="0" collapsed="false">
      <c r="B8" s="6" t="s">
        <v>13</v>
      </c>
      <c r="C8" s="14" t="n">
        <v>16400</v>
      </c>
      <c r="D8" s="6" t="n">
        <v>50</v>
      </c>
      <c r="E8" s="6" t="n">
        <f aca="false">1+D8/100</f>
        <v>1.5</v>
      </c>
      <c r="F8" s="7" t="n">
        <f aca="false">(E8^(1/12))-1</f>
        <v>0.0343660831319166</v>
      </c>
      <c r="G8" s="8" t="n">
        <f aca="false">F8*100</f>
        <v>3.43660831319166</v>
      </c>
      <c r="H8" s="8" t="n">
        <f aca="false">C8*(1+F8)</f>
        <v>16963.6037633634</v>
      </c>
      <c r="J8" s="6" t="n">
        <v>5</v>
      </c>
      <c r="K8" s="8" t="n">
        <f aca="false">P7</f>
        <v>48650.3553085166</v>
      </c>
      <c r="L8" s="6" t="n">
        <v>50</v>
      </c>
      <c r="M8" s="6" t="n">
        <f aca="false">1+L8/100</f>
        <v>1.5</v>
      </c>
      <c r="N8" s="9" t="n">
        <f aca="false">(M8^(1/12))-1</f>
        <v>0.0343660831319166</v>
      </c>
      <c r="O8" s="8" t="n">
        <f aca="false">N8*100</f>
        <v>3.43660831319166</v>
      </c>
      <c r="P8" s="8" t="n">
        <f aca="false">K8*(1+N8)</f>
        <v>50322.2774634464</v>
      </c>
      <c r="R8" s="6" t="n">
        <v>5</v>
      </c>
      <c r="S8" s="10" t="n">
        <f aca="false">X7</f>
        <v>146646882.5472</v>
      </c>
      <c r="T8" s="6" t="n">
        <v>20</v>
      </c>
      <c r="U8" s="8" t="n">
        <f aca="false">1+T8/100</f>
        <v>1.2</v>
      </c>
      <c r="V8" s="11" t="n">
        <f aca="false">(U8^(1/12))-1</f>
        <v>0.0153094704997312</v>
      </c>
      <c r="W8" s="8" t="n">
        <f aca="false">V8*100</f>
        <v>1.53094704997312</v>
      </c>
      <c r="X8" s="10" t="n">
        <f aca="false">S8*(1+V8)</f>
        <v>148891968.669434</v>
      </c>
    </row>
    <row r="9" customFormat="false" ht="15" hidden="false" customHeight="false" outlineLevel="0" collapsed="false">
      <c r="B9" s="6" t="s">
        <v>14</v>
      </c>
      <c r="C9" s="6" t="n">
        <v>31500</v>
      </c>
      <c r="D9" s="6" t="n">
        <v>50</v>
      </c>
      <c r="E9" s="6" t="n">
        <f aca="false">1+D9/100</f>
        <v>1.5</v>
      </c>
      <c r="F9" s="7" t="n">
        <f aca="false">(E9^(1/12))-1</f>
        <v>0.0343660831319166</v>
      </c>
      <c r="G9" s="8" t="n">
        <f aca="false">F9*100</f>
        <v>3.43660831319166</v>
      </c>
      <c r="H9" s="8" t="n">
        <f aca="false">C9*(1+F9)</f>
        <v>32582.5316186554</v>
      </c>
      <c r="J9" s="6" t="n">
        <v>6</v>
      </c>
      <c r="K9" s="8" t="n">
        <f aca="false">P8</f>
        <v>50322.2774634464</v>
      </c>
      <c r="L9" s="6" t="n">
        <v>50</v>
      </c>
      <c r="M9" s="6" t="n">
        <f aca="false">1+L9/100</f>
        <v>1.5</v>
      </c>
      <c r="N9" s="9" t="n">
        <f aca="false">(M9^(1/12))-1</f>
        <v>0.0343660831319166</v>
      </c>
      <c r="O9" s="8" t="n">
        <f aca="false">N9*100</f>
        <v>3.43660831319166</v>
      </c>
      <c r="P9" s="8" t="n">
        <f aca="false">K9*(1+N9)</f>
        <v>52051.6570341425</v>
      </c>
      <c r="R9" s="6" t="n">
        <v>6</v>
      </c>
      <c r="S9" s="10" t="n">
        <f aca="false">X8</f>
        <v>148891968.669434</v>
      </c>
      <c r="T9" s="6" t="n">
        <v>20</v>
      </c>
      <c r="U9" s="8" t="n">
        <f aca="false">1+T9/100</f>
        <v>1.2</v>
      </c>
      <c r="V9" s="11" t="n">
        <f aca="false">(U9^(1/12))-1</f>
        <v>0.0153094704997312</v>
      </c>
      <c r="W9" s="8" t="n">
        <f aca="false">V9*100</f>
        <v>1.53094704997312</v>
      </c>
      <c r="X9" s="10" t="n">
        <f aca="false">S9*(1+V9)</f>
        <v>151171425.871426</v>
      </c>
    </row>
    <row r="10" customFormat="false" ht="15" hidden="false" customHeight="false" outlineLevel="0" collapsed="false">
      <c r="B10" s="6" t="s">
        <v>15</v>
      </c>
      <c r="C10" s="6" t="n">
        <v>26400</v>
      </c>
      <c r="D10" s="6" t="n">
        <v>50</v>
      </c>
      <c r="E10" s="6" t="n">
        <f aca="false">1+D10/100</f>
        <v>1.5</v>
      </c>
      <c r="F10" s="7" t="n">
        <f aca="false">(E10^(1/12))-1</f>
        <v>0.0343660831319166</v>
      </c>
      <c r="G10" s="8" t="n">
        <f aca="false">F10*100</f>
        <v>3.43660831319166</v>
      </c>
      <c r="H10" s="8" t="n">
        <f aca="false">C10*(1+F10)</f>
        <v>27307.2645946826</v>
      </c>
      <c r="J10" s="6" t="n">
        <v>7</v>
      </c>
      <c r="K10" s="8" t="n">
        <f aca="false">P9</f>
        <v>52051.6570341425</v>
      </c>
      <c r="L10" s="6" t="n">
        <v>50</v>
      </c>
      <c r="M10" s="6" t="n">
        <f aca="false">1+L10/100</f>
        <v>1.5</v>
      </c>
      <c r="N10" s="9" t="n">
        <f aca="false">(M10^(1/12))-1</f>
        <v>0.0343660831319166</v>
      </c>
      <c r="O10" s="8" t="n">
        <f aca="false">N10*100</f>
        <v>3.43660831319166</v>
      </c>
      <c r="P10" s="8" t="n">
        <f aca="false">K10*(1+N10)</f>
        <v>53840.4686069319</v>
      </c>
      <c r="R10" s="6" t="n">
        <v>7</v>
      </c>
      <c r="S10" s="10" t="n">
        <f aca="false">X9</f>
        <v>151171425.871426</v>
      </c>
      <c r="T10" s="6" t="n">
        <v>20</v>
      </c>
      <c r="U10" s="8" t="n">
        <f aca="false">1+T10/100</f>
        <v>1.2</v>
      </c>
      <c r="V10" s="11" t="n">
        <f aca="false">(U10^(1/12))-1</f>
        <v>0.0153094704997312</v>
      </c>
      <c r="W10" s="8" t="n">
        <f aca="false">V10*100</f>
        <v>1.53094704997312</v>
      </c>
      <c r="X10" s="10" t="n">
        <f aca="false">S10*(1+V10)</f>
        <v>153485780.356207</v>
      </c>
    </row>
    <row r="11" customFormat="false" ht="15" hidden="false" customHeight="false" outlineLevel="0" collapsed="false">
      <c r="B11" s="6" t="s">
        <v>16</v>
      </c>
      <c r="C11" s="6" t="n">
        <v>20100</v>
      </c>
      <c r="D11" s="6" t="n">
        <v>50</v>
      </c>
      <c r="E11" s="6" t="n">
        <f aca="false">1+D11/100</f>
        <v>1.5</v>
      </c>
      <c r="F11" s="7" t="n">
        <f aca="false">(E11^(1/12))-1</f>
        <v>0.0343660831319166</v>
      </c>
      <c r="G11" s="8" t="n">
        <f aca="false">F11*100</f>
        <v>3.43660831319166</v>
      </c>
      <c r="H11" s="8" t="n">
        <f aca="false">C11*(1+F11)</f>
        <v>20790.7582709515</v>
      </c>
      <c r="J11" s="6" t="n">
        <v>8</v>
      </c>
      <c r="K11" s="8" t="n">
        <f aca="false">P10</f>
        <v>53840.4686069319</v>
      </c>
      <c r="L11" s="6" t="n">
        <v>50</v>
      </c>
      <c r="M11" s="6" t="n">
        <f aca="false">1+L11/100</f>
        <v>1.5</v>
      </c>
      <c r="N11" s="9" t="n">
        <f aca="false">(M11^(1/12))-1</f>
        <v>0.0343660831319166</v>
      </c>
      <c r="O11" s="8" t="n">
        <f aca="false">N11*100</f>
        <v>3.43660831319166</v>
      </c>
      <c r="P11" s="8" t="n">
        <f aca="false">K11*(1+N11)</f>
        <v>55690.7546269391</v>
      </c>
      <c r="R11" s="6" t="n">
        <v>8</v>
      </c>
      <c r="S11" s="10" t="n">
        <f aca="false">X10</f>
        <v>153485780.356207</v>
      </c>
      <c r="T11" s="6" t="n">
        <v>20</v>
      </c>
      <c r="U11" s="8" t="n">
        <f aca="false">1+T11/100</f>
        <v>1.2</v>
      </c>
      <c r="V11" s="11" t="n">
        <f aca="false">(U11^(1/12))-1</f>
        <v>0.0153094704997312</v>
      </c>
      <c r="W11" s="8" t="n">
        <f aca="false">V11*100</f>
        <v>1.53094704997312</v>
      </c>
      <c r="X11" s="10" t="n">
        <f aca="false">S11*(1+V11)</f>
        <v>155835566.382698</v>
      </c>
    </row>
    <row r="12" customFormat="false" ht="15" hidden="false" customHeight="false" outlineLevel="0" collapsed="false">
      <c r="B12" s="6" t="s">
        <v>17</v>
      </c>
      <c r="C12" s="6" t="n">
        <v>18300</v>
      </c>
      <c r="D12" s="6" t="n">
        <v>50</v>
      </c>
      <c r="E12" s="6" t="n">
        <f aca="false">1+D12/100</f>
        <v>1.5</v>
      </c>
      <c r="F12" s="7" t="n">
        <f aca="false">(E12^(1/12))-1</f>
        <v>0.0343660831319166</v>
      </c>
      <c r="G12" s="8" t="n">
        <f aca="false">F12*100</f>
        <v>3.43660831319166</v>
      </c>
      <c r="H12" s="8" t="n">
        <f aca="false">C12*(1+F12)</f>
        <v>18928.8993213141</v>
      </c>
      <c r="J12" s="6" t="n">
        <v>9</v>
      </c>
      <c r="K12" s="8" t="n">
        <f aca="false">P11</f>
        <v>55690.7546269391</v>
      </c>
      <c r="L12" s="6" t="n">
        <v>50</v>
      </c>
      <c r="M12" s="6" t="n">
        <f aca="false">1+L12/100</f>
        <v>1.5</v>
      </c>
      <c r="N12" s="9" t="n">
        <f aca="false">(M12^(1/12))-1</f>
        <v>0.0343660831319166</v>
      </c>
      <c r="O12" s="8" t="n">
        <f aca="false">N12*100</f>
        <v>3.43660831319166</v>
      </c>
      <c r="P12" s="8" t="n">
        <f aca="false">K12*(1+N12)</f>
        <v>57604.6277301276</v>
      </c>
      <c r="R12" s="6" t="n">
        <v>9</v>
      </c>
      <c r="S12" s="10" t="n">
        <f aca="false">X11</f>
        <v>155835566.382698</v>
      </c>
      <c r="T12" s="6" t="n">
        <v>20</v>
      </c>
      <c r="U12" s="8" t="n">
        <f aca="false">1+T12/100</f>
        <v>1.2</v>
      </c>
      <c r="V12" s="11" t="n">
        <f aca="false">(U12^(1/12))-1</f>
        <v>0.0153094704997312</v>
      </c>
      <c r="W12" s="8" t="n">
        <f aca="false">V12*100</f>
        <v>1.53094704997312</v>
      </c>
      <c r="X12" s="10" t="n">
        <f aca="false">S12*(1+V12)</f>
        <v>158221326.389043</v>
      </c>
    </row>
    <row r="13" customFormat="false" ht="15" hidden="false" customHeight="false" outlineLevel="0" collapsed="false">
      <c r="B13" s="6" t="s">
        <v>18</v>
      </c>
      <c r="C13" s="6" t="n">
        <v>18500</v>
      </c>
      <c r="D13" s="6" t="n">
        <v>50</v>
      </c>
      <c r="E13" s="6" t="n">
        <f aca="false">1+D13/100</f>
        <v>1.5</v>
      </c>
      <c r="F13" s="7" t="n">
        <f aca="false">(E13^(1/12))-1</f>
        <v>0.0343660831319166</v>
      </c>
      <c r="G13" s="8" t="n">
        <f aca="false">F13*100</f>
        <v>3.43660831319166</v>
      </c>
      <c r="H13" s="8" t="n">
        <f aca="false">C13*(1+F13)</f>
        <v>19135.7725379405</v>
      </c>
      <c r="J13" s="6" t="n">
        <v>10</v>
      </c>
      <c r="K13" s="8" t="n">
        <f aca="false">P12</f>
        <v>57604.6277301276</v>
      </c>
      <c r="L13" s="6" t="n">
        <v>50</v>
      </c>
      <c r="M13" s="6" t="n">
        <f aca="false">1+L13/100</f>
        <v>1.5</v>
      </c>
      <c r="N13" s="9" t="n">
        <f aca="false">(M13^(1/12))-1</f>
        <v>0.0343660831319166</v>
      </c>
      <c r="O13" s="8" t="n">
        <f aca="false">N13*100</f>
        <v>3.43660831319166</v>
      </c>
      <c r="P13" s="8" t="n">
        <f aca="false">K13*(1+N13)</f>
        <v>59584.2731554843</v>
      </c>
      <c r="R13" s="6" t="n">
        <v>10</v>
      </c>
      <c r="S13" s="10" t="n">
        <f aca="false">X12</f>
        <v>158221326.389043</v>
      </c>
      <c r="T13" s="6" t="n">
        <v>20</v>
      </c>
      <c r="U13" s="8" t="n">
        <f aca="false">1+T13/100</f>
        <v>1.2</v>
      </c>
      <c r="V13" s="11" t="n">
        <f aca="false">(U13^(1/12))-1</f>
        <v>0.0153094704997312</v>
      </c>
      <c r="W13" s="8" t="n">
        <f aca="false">V13*100</f>
        <v>1.53094704997312</v>
      </c>
      <c r="X13" s="10" t="n">
        <f aca="false">S13*(1+V13)</f>
        <v>160643611.117825</v>
      </c>
    </row>
    <row r="14" customFormat="false" ht="15" hidden="false" customHeight="false" outlineLevel="0" collapsed="false">
      <c r="B14" s="6" t="s">
        <v>19</v>
      </c>
      <c r="C14" s="6" t="n">
        <v>21800</v>
      </c>
      <c r="D14" s="6" t="n">
        <v>50</v>
      </c>
      <c r="E14" s="6" t="n">
        <f aca="false">1+D14/100</f>
        <v>1.5</v>
      </c>
      <c r="F14" s="7" t="n">
        <f aca="false">(E14^(1/12))-1</f>
        <v>0.0343660831319166</v>
      </c>
      <c r="G14" s="8" t="n">
        <f aca="false">F14*100</f>
        <v>3.43660831319166</v>
      </c>
      <c r="H14" s="8" t="n">
        <f aca="false">C14*(1+F14)</f>
        <v>22549.1806122758</v>
      </c>
      <c r="J14" s="6" t="n">
        <v>11</v>
      </c>
      <c r="K14" s="8" t="n">
        <f aca="false">P13</f>
        <v>59584.2731554843</v>
      </c>
      <c r="L14" s="6" t="n">
        <v>50</v>
      </c>
      <c r="M14" s="6" t="n">
        <f aca="false">1+L14/100</f>
        <v>1.5</v>
      </c>
      <c r="N14" s="9" t="n">
        <f aca="false">(M14^(1/12))-1</f>
        <v>0.0343660831319166</v>
      </c>
      <c r="O14" s="8" t="n">
        <f aca="false">N14*100</f>
        <v>3.43660831319166</v>
      </c>
      <c r="P14" s="8" t="n">
        <f aca="false">K14*(1+N14)</f>
        <v>61631.9512401005</v>
      </c>
      <c r="R14" s="6" t="n">
        <v>11</v>
      </c>
      <c r="S14" s="10" t="n">
        <f aca="false">X13</f>
        <v>160643611.117825</v>
      </c>
      <c r="T14" s="6" t="n">
        <v>20</v>
      </c>
      <c r="U14" s="8" t="n">
        <f aca="false">1+T14/100</f>
        <v>1.2</v>
      </c>
      <c r="V14" s="11" t="n">
        <f aca="false">(U14^(1/12))-1</f>
        <v>0.0153094704997312</v>
      </c>
      <c r="W14" s="8" t="n">
        <f aca="false">V14*100</f>
        <v>1.53094704997312</v>
      </c>
      <c r="X14" s="10" t="n">
        <f aca="false">S14*(1+V14)</f>
        <v>163102979.743203</v>
      </c>
    </row>
    <row r="15" customFormat="false" ht="15" hidden="false" customHeight="false" outlineLevel="0" collapsed="false">
      <c r="B15" s="6" t="s">
        <v>20</v>
      </c>
      <c r="C15" s="6" t="n">
        <v>33100</v>
      </c>
      <c r="D15" s="6" t="n">
        <v>50</v>
      </c>
      <c r="E15" s="6" t="n">
        <f aca="false">1+D15/100</f>
        <v>1.5</v>
      </c>
      <c r="F15" s="7" t="n">
        <f aca="false">(E15^(1/12))-1</f>
        <v>0.0343660831319166</v>
      </c>
      <c r="G15" s="8" t="n">
        <f aca="false">F15*100</f>
        <v>3.43660831319166</v>
      </c>
      <c r="H15" s="8" t="n">
        <f aca="false">C15*(1+F15)</f>
        <v>34237.5173516664</v>
      </c>
      <c r="J15" s="6" t="n">
        <v>12</v>
      </c>
      <c r="K15" s="8" t="n">
        <f aca="false">P14</f>
        <v>61631.9512401005</v>
      </c>
      <c r="L15" s="6" t="n">
        <v>50</v>
      </c>
      <c r="M15" s="6" t="n">
        <f aca="false">1+L15/100</f>
        <v>1.5</v>
      </c>
      <c r="N15" s="9" t="n">
        <f aca="false">(M15^(1/12))-1</f>
        <v>0.0343660831319166</v>
      </c>
      <c r="O15" s="8" t="n">
        <f aca="false">N15*100</f>
        <v>3.43660831319166</v>
      </c>
      <c r="P15" s="8" t="n">
        <f aca="false">K15*(1+N15)</f>
        <v>63750</v>
      </c>
      <c r="R15" s="6" t="n">
        <v>12</v>
      </c>
      <c r="S15" s="10" t="n">
        <f aca="false">X14</f>
        <v>163102979.743203</v>
      </c>
      <c r="T15" s="6" t="n">
        <v>20</v>
      </c>
      <c r="U15" s="8" t="n">
        <f aca="false">1+T15/100</f>
        <v>1.2</v>
      </c>
      <c r="V15" s="11" t="n">
        <f aca="false">(U15^(1/12))-1</f>
        <v>0.0153094704997312</v>
      </c>
      <c r="W15" s="8" t="n">
        <f aca="false">V15*100</f>
        <v>1.53094704997312</v>
      </c>
      <c r="X15" s="10" t="n">
        <f aca="false">S15*(1+V15)</f>
        <v>165600000</v>
      </c>
    </row>
    <row r="16" customFormat="false" ht="15" hidden="false" customHeight="false" outlineLevel="0" collapsed="false">
      <c r="B16" s="6" t="s">
        <v>21</v>
      </c>
      <c r="C16" s="6" t="n">
        <v>42500</v>
      </c>
      <c r="D16" s="6" t="n">
        <v>50</v>
      </c>
      <c r="E16" s="6" t="n">
        <f aca="false">1+D16/100</f>
        <v>1.5</v>
      </c>
      <c r="F16" s="7" t="n">
        <f aca="false">(E16^(1/12))-1</f>
        <v>0.0343660831319166</v>
      </c>
      <c r="G16" s="8" t="n">
        <f aca="false">F16*100</f>
        <v>3.43660831319166</v>
      </c>
      <c r="H16" s="8" t="n">
        <f aca="false">C16*(1+F16)</f>
        <v>43960.5585331065</v>
      </c>
      <c r="J16" s="6" t="n">
        <v>13</v>
      </c>
      <c r="K16" s="8" t="n">
        <f aca="false">P15</f>
        <v>63750</v>
      </c>
      <c r="L16" s="6" t="n">
        <v>50</v>
      </c>
      <c r="M16" s="6" t="n">
        <f aca="false">1+L16/100</f>
        <v>1.5</v>
      </c>
      <c r="N16" s="9" t="n">
        <f aca="false">(M16^(1/12))-1</f>
        <v>0.0343660831319166</v>
      </c>
      <c r="O16" s="8" t="n">
        <f aca="false">N16*100</f>
        <v>3.43660831319166</v>
      </c>
      <c r="P16" s="8" t="n">
        <f aca="false">K16*(1+N16)</f>
        <v>65940.8377996597</v>
      </c>
      <c r="R16" s="6" t="n">
        <v>13</v>
      </c>
      <c r="S16" s="10" t="n">
        <f aca="false">X15</f>
        <v>165600000</v>
      </c>
      <c r="T16" s="6" t="n">
        <v>20</v>
      </c>
      <c r="U16" s="8" t="n">
        <f aca="false">1+T16/100</f>
        <v>1.2</v>
      </c>
      <c r="V16" s="11" t="n">
        <f aca="false">(U16^(1/12))-1</f>
        <v>0.0153094704997312</v>
      </c>
      <c r="W16" s="8" t="n">
        <f aca="false">V16*100</f>
        <v>1.53094704997312</v>
      </c>
      <c r="X16" s="10" t="n">
        <f aca="false">S16*(1+V16)</f>
        <v>168135248.314756</v>
      </c>
    </row>
    <row r="17" customFormat="false" ht="15" hidden="false" customHeight="false" outlineLevel="0" collapsed="false">
      <c r="B17" s="6" t="s">
        <v>22</v>
      </c>
      <c r="C17" s="6"/>
      <c r="D17" s="6" t="n">
        <v>50</v>
      </c>
      <c r="E17" s="6" t="n">
        <f aca="false">1+D17/100</f>
        <v>1.5</v>
      </c>
      <c r="F17" s="7" t="n">
        <f aca="false">(E17^(1/12))-1</f>
        <v>0.0343660831319166</v>
      </c>
      <c r="G17" s="8" t="n">
        <f aca="false">F17*100</f>
        <v>3.43660831319166</v>
      </c>
      <c r="H17" s="6"/>
      <c r="J17" s="6" t="n">
        <v>14</v>
      </c>
      <c r="K17" s="8" t="n">
        <f aca="false">P16</f>
        <v>65940.8377996597</v>
      </c>
      <c r="L17" s="6" t="n">
        <v>50</v>
      </c>
      <c r="M17" s="6" t="n">
        <f aca="false">1+L17/100</f>
        <v>1.5</v>
      </c>
      <c r="N17" s="9" t="n">
        <f aca="false">(M17^(1/12))-1</f>
        <v>0.0343660831319166</v>
      </c>
      <c r="O17" s="8" t="n">
        <f aca="false">N17*100</f>
        <v>3.43660831319166</v>
      </c>
      <c r="P17" s="8" t="n">
        <f aca="false">K17*(1+N17)</f>
        <v>68206.966113271</v>
      </c>
      <c r="R17" s="6" t="n">
        <v>14</v>
      </c>
      <c r="S17" s="10" t="n">
        <f aca="false">X16</f>
        <v>168135248.314756</v>
      </c>
      <c r="T17" s="6" t="n">
        <v>20</v>
      </c>
      <c r="U17" s="8" t="n">
        <f aca="false">1+T17/100</f>
        <v>1.2</v>
      </c>
      <c r="V17" s="11" t="n">
        <f aca="false">(U17^(1/12))-1</f>
        <v>0.0153094704997312</v>
      </c>
      <c r="W17" s="8" t="n">
        <f aca="false">V17*100</f>
        <v>1.53094704997312</v>
      </c>
      <c r="X17" s="10" t="n">
        <f aca="false">S17*(1+V17)</f>
        <v>170709309.938795</v>
      </c>
    </row>
    <row r="18" customFormat="false" ht="15" hidden="false" customHeight="false" outlineLevel="0" collapsed="false">
      <c r="B18" s="6" t="s">
        <v>23</v>
      </c>
      <c r="C18" s="6"/>
      <c r="D18" s="6" t="n">
        <v>50</v>
      </c>
      <c r="E18" s="6" t="n">
        <f aca="false">1+D18/100</f>
        <v>1.5</v>
      </c>
      <c r="F18" s="7" t="n">
        <f aca="false">(E18^(1/12))-1</f>
        <v>0.0343660831319166</v>
      </c>
      <c r="G18" s="8" t="n">
        <f aca="false">F18*100</f>
        <v>3.43660831319166</v>
      </c>
      <c r="H18" s="6"/>
      <c r="J18" s="6" t="n">
        <v>15</v>
      </c>
      <c r="K18" s="8" t="n">
        <f aca="false">P17</f>
        <v>68206.966113271</v>
      </c>
      <c r="L18" s="6" t="n">
        <v>50</v>
      </c>
      <c r="M18" s="6" t="n">
        <f aca="false">1+L18/100</f>
        <v>1.5</v>
      </c>
      <c r="N18" s="9" t="n">
        <f aca="false">(M18^(1/12))-1</f>
        <v>0.0343660831319166</v>
      </c>
      <c r="O18" s="8" t="n">
        <f aca="false">N18*100</f>
        <v>3.43660831319166</v>
      </c>
      <c r="P18" s="8" t="n">
        <f aca="false">K18*(1+N18)</f>
        <v>70550.9723808955</v>
      </c>
      <c r="R18" s="6" t="n">
        <v>15</v>
      </c>
      <c r="S18" s="10" t="n">
        <f aca="false">X17</f>
        <v>170709309.938795</v>
      </c>
      <c r="T18" s="6" t="n">
        <v>20</v>
      </c>
      <c r="U18" s="8" t="n">
        <f aca="false">1+T18/100</f>
        <v>1.2</v>
      </c>
      <c r="V18" s="11" t="n">
        <f aca="false">(U18^(1/12))-1</f>
        <v>0.0153094704997312</v>
      </c>
      <c r="W18" s="8" t="n">
        <f aca="false">V18*100</f>
        <v>1.53094704997312</v>
      </c>
      <c r="X18" s="10" t="n">
        <f aca="false">S18*(1+V18)</f>
        <v>173322779.083333</v>
      </c>
    </row>
    <row r="19" customFormat="false" ht="15" hidden="false" customHeight="false" outlineLevel="0" collapsed="false">
      <c r="B19" s="6" t="s">
        <v>24</v>
      </c>
      <c r="C19" s="6"/>
      <c r="D19" s="6" t="n">
        <v>50</v>
      </c>
      <c r="E19" s="6" t="n">
        <f aca="false">1+D19/100</f>
        <v>1.5</v>
      </c>
      <c r="F19" s="7" t="n">
        <f aca="false">(E19^(1/12))-1</f>
        <v>0.0343660831319166</v>
      </c>
      <c r="G19" s="8" t="n">
        <f aca="false">F19*100</f>
        <v>3.43660831319166</v>
      </c>
      <c r="H19" s="6"/>
      <c r="J19" s="6" t="n">
        <v>16</v>
      </c>
      <c r="K19" s="8" t="n">
        <f aca="false">P18</f>
        <v>70550.9723808955</v>
      </c>
      <c r="L19" s="6" t="n">
        <v>50</v>
      </c>
      <c r="M19" s="6" t="n">
        <f aca="false">1+L19/100</f>
        <v>1.5</v>
      </c>
      <c r="N19" s="9" t="n">
        <f aca="false">(M19^(1/12))-1</f>
        <v>0.0343660831319166</v>
      </c>
      <c r="O19" s="8" t="n">
        <f aca="false">N19*100</f>
        <v>3.43660831319166</v>
      </c>
      <c r="P19" s="8" t="n">
        <f aca="false">K19*(1+N19)</f>
        <v>72975.5329627749</v>
      </c>
      <c r="R19" s="6" t="n">
        <v>16</v>
      </c>
      <c r="S19" s="10" t="n">
        <f aca="false">X18</f>
        <v>173322779.083333</v>
      </c>
      <c r="T19" s="6" t="n">
        <v>20</v>
      </c>
      <c r="U19" s="8" t="n">
        <f aca="false">1+T19/100</f>
        <v>1.2</v>
      </c>
      <c r="V19" s="11" t="n">
        <f aca="false">(U19^(1/12))-1</f>
        <v>0.0153094704997312</v>
      </c>
      <c r="W19" s="8" t="n">
        <f aca="false">V19*100</f>
        <v>1.53094704997312</v>
      </c>
      <c r="X19" s="10" t="n">
        <f aca="false">S19*(1+V19)</f>
        <v>175976259.05664</v>
      </c>
    </row>
    <row r="20" customFormat="false" ht="15" hidden="false" customHeight="false" outlineLevel="0" collapsed="false">
      <c r="B20" s="6" t="s">
        <v>25</v>
      </c>
      <c r="C20" s="6"/>
      <c r="D20" s="6" t="n">
        <v>50</v>
      </c>
      <c r="E20" s="6" t="n">
        <f aca="false">1+D20/100</f>
        <v>1.5</v>
      </c>
      <c r="F20" s="7" t="n">
        <f aca="false">(E20^(1/12))-1</f>
        <v>0.0343660831319166</v>
      </c>
      <c r="G20" s="8" t="n">
        <f aca="false">F20*100</f>
        <v>3.43660831319166</v>
      </c>
      <c r="H20" s="6"/>
      <c r="J20" s="6" t="n">
        <v>17</v>
      </c>
      <c r="K20" s="8" t="n">
        <f aca="false">P19</f>
        <v>72975.5329627749</v>
      </c>
      <c r="L20" s="6" t="n">
        <v>50</v>
      </c>
      <c r="M20" s="6" t="n">
        <f aca="false">1+L20/100</f>
        <v>1.5</v>
      </c>
      <c r="N20" s="9" t="n">
        <f aca="false">(M20^(1/12))-1</f>
        <v>0.0343660831319166</v>
      </c>
      <c r="O20" s="8" t="n">
        <f aca="false">N20*100</f>
        <v>3.43660831319166</v>
      </c>
      <c r="P20" s="8" t="n">
        <f aca="false">K20*(1+N20)</f>
        <v>75483.4161951695</v>
      </c>
      <c r="R20" s="6" t="n">
        <v>17</v>
      </c>
      <c r="S20" s="10" t="n">
        <f aca="false">X19</f>
        <v>175976259.05664</v>
      </c>
      <c r="T20" s="6" t="n">
        <v>20</v>
      </c>
      <c r="U20" s="8" t="n">
        <f aca="false">1+T20/100</f>
        <v>1.2</v>
      </c>
      <c r="V20" s="11" t="n">
        <f aca="false">(U20^(1/12))-1</f>
        <v>0.0153094704997312</v>
      </c>
      <c r="W20" s="8" t="n">
        <f aca="false">V20*100</f>
        <v>1.53094704997312</v>
      </c>
      <c r="X20" s="10" t="n">
        <f aca="false">S20*(1+V20)</f>
        <v>178670362.403321</v>
      </c>
    </row>
    <row r="21" customFormat="false" ht="15" hidden="false" customHeight="false" outlineLevel="0" collapsed="false">
      <c r="B21" s="6" t="s">
        <v>26</v>
      </c>
      <c r="C21" s="6"/>
      <c r="D21" s="6" t="n">
        <v>50</v>
      </c>
      <c r="E21" s="6" t="n">
        <f aca="false">1+D21/100</f>
        <v>1.5</v>
      </c>
      <c r="F21" s="7" t="n">
        <f aca="false">(E21^(1/12))-1</f>
        <v>0.0343660831319166</v>
      </c>
      <c r="G21" s="8" t="n">
        <f aca="false">F21*100</f>
        <v>3.43660831319166</v>
      </c>
      <c r="H21" s="6"/>
      <c r="J21" s="6" t="n">
        <v>18</v>
      </c>
      <c r="K21" s="8" t="n">
        <f aca="false">P20</f>
        <v>75483.4161951695</v>
      </c>
      <c r="L21" s="6" t="n">
        <v>50</v>
      </c>
      <c r="M21" s="6" t="n">
        <f aca="false">1+L21/100</f>
        <v>1.5</v>
      </c>
      <c r="N21" s="9" t="n">
        <f aca="false">(M21^(1/12))-1</f>
        <v>0.0343660831319166</v>
      </c>
      <c r="O21" s="8" t="n">
        <f aca="false">N21*100</f>
        <v>3.43660831319166</v>
      </c>
      <c r="P21" s="8" t="n">
        <f aca="false">K21*(1+N21)</f>
        <v>78077.4855512138</v>
      </c>
      <c r="R21" s="6" t="n">
        <v>18</v>
      </c>
      <c r="S21" s="10" t="n">
        <f aca="false">X20</f>
        <v>178670362.403321</v>
      </c>
      <c r="T21" s="6" t="n">
        <v>20</v>
      </c>
      <c r="U21" s="8" t="n">
        <f aca="false">1+T21/100</f>
        <v>1.2</v>
      </c>
      <c r="V21" s="11" t="n">
        <f aca="false">(U21^(1/12))-1</f>
        <v>0.0153094704997312</v>
      </c>
      <c r="W21" s="8" t="n">
        <f aca="false">V21*100</f>
        <v>1.53094704997312</v>
      </c>
      <c r="X21" s="10" t="n">
        <f aca="false">S21*(1+V21)</f>
        <v>181405711.045711</v>
      </c>
    </row>
    <row r="22" customFormat="false" ht="15" hidden="false" customHeight="false" outlineLevel="0" collapsed="false">
      <c r="B22" s="6" t="s">
        <v>27</v>
      </c>
      <c r="C22" s="6"/>
      <c r="D22" s="6" t="n">
        <v>50</v>
      </c>
      <c r="E22" s="6" t="n">
        <f aca="false">1+D22/100</f>
        <v>1.5</v>
      </c>
      <c r="F22" s="7" t="n">
        <f aca="false">(E22^(1/12))-1</f>
        <v>0.0343660831319166</v>
      </c>
      <c r="G22" s="8" t="n">
        <f aca="false">F22*100</f>
        <v>3.43660831319166</v>
      </c>
      <c r="H22" s="6"/>
      <c r="J22" s="6" t="n">
        <v>19</v>
      </c>
      <c r="K22" s="8" t="n">
        <f aca="false">P21</f>
        <v>78077.4855512138</v>
      </c>
      <c r="L22" s="6" t="n">
        <v>50</v>
      </c>
      <c r="M22" s="6" t="n">
        <f aca="false">1+L22/100</f>
        <v>1.5</v>
      </c>
      <c r="N22" s="9" t="n">
        <f aca="false">(M22^(1/12))-1</f>
        <v>0.0343660831319166</v>
      </c>
      <c r="O22" s="8" t="n">
        <f aca="false">N22*100</f>
        <v>3.43660831319166</v>
      </c>
      <c r="P22" s="8" t="n">
        <f aca="false">K22*(1+N22)</f>
        <v>80760.7029103978</v>
      </c>
      <c r="R22" s="6" t="n">
        <v>19</v>
      </c>
      <c r="S22" s="10" t="n">
        <f aca="false">X21</f>
        <v>181405711.045711</v>
      </c>
      <c r="T22" s="6" t="n">
        <v>20</v>
      </c>
      <c r="U22" s="8" t="n">
        <f aca="false">1+T22/100</f>
        <v>1.2</v>
      </c>
      <c r="V22" s="11" t="n">
        <f aca="false">(U22^(1/12))-1</f>
        <v>0.0153094704997312</v>
      </c>
      <c r="W22" s="8" t="n">
        <f aca="false">V22*100</f>
        <v>1.53094704997312</v>
      </c>
      <c r="X22" s="10" t="n">
        <f aca="false">S22*(1+V22)</f>
        <v>184182936.427448</v>
      </c>
    </row>
    <row r="23" customFormat="false" ht="15" hidden="false" customHeight="false" outlineLevel="0" collapsed="false">
      <c r="B23" s="6" t="s">
        <v>28</v>
      </c>
      <c r="C23" s="6"/>
      <c r="D23" s="6" t="n">
        <v>50</v>
      </c>
      <c r="E23" s="6" t="n">
        <f aca="false">1+D23/100</f>
        <v>1.5</v>
      </c>
      <c r="F23" s="7" t="n">
        <f aca="false">(E23^(1/12))-1</f>
        <v>0.0343660831319166</v>
      </c>
      <c r="G23" s="8" t="n">
        <f aca="false">F23*100</f>
        <v>3.43660831319166</v>
      </c>
      <c r="H23" s="6"/>
      <c r="J23" s="6" t="n">
        <v>20</v>
      </c>
      <c r="K23" s="8" t="n">
        <f aca="false">P22</f>
        <v>80760.7029103978</v>
      </c>
      <c r="L23" s="6" t="n">
        <v>50</v>
      </c>
      <c r="M23" s="6" t="n">
        <f aca="false">1+L23/100</f>
        <v>1.5</v>
      </c>
      <c r="N23" s="9" t="n">
        <f aca="false">(M23^(1/12))-1</f>
        <v>0.0343660831319166</v>
      </c>
      <c r="O23" s="8" t="n">
        <f aca="false">N23*100</f>
        <v>3.43660831319166</v>
      </c>
      <c r="P23" s="8" t="n">
        <f aca="false">K23*(1+N23)</f>
        <v>83536.1319404086</v>
      </c>
      <c r="R23" s="6" t="n">
        <v>20</v>
      </c>
      <c r="S23" s="10" t="n">
        <f aca="false">X22</f>
        <v>184182936.427448</v>
      </c>
      <c r="T23" s="6" t="n">
        <v>20</v>
      </c>
      <c r="U23" s="8" t="n">
        <f aca="false">1+T23/100</f>
        <v>1.2</v>
      </c>
      <c r="V23" s="11" t="n">
        <f aca="false">(U23^(1/12))-1</f>
        <v>0.0153094704997312</v>
      </c>
      <c r="W23" s="8" t="n">
        <f aca="false">V23*100</f>
        <v>1.53094704997312</v>
      </c>
      <c r="X23" s="10" t="n">
        <f aca="false">S23*(1+V23)</f>
        <v>187002679.659238</v>
      </c>
    </row>
    <row r="24" customFormat="false" ht="15" hidden="false" customHeight="false" outlineLevel="0" collapsed="false">
      <c r="B24" s="6" t="s">
        <v>29</v>
      </c>
      <c r="C24" s="6"/>
      <c r="D24" s="6" t="n">
        <v>50</v>
      </c>
      <c r="E24" s="6" t="n">
        <f aca="false">1+D24/100</f>
        <v>1.5</v>
      </c>
      <c r="F24" s="7" t="n">
        <f aca="false">(E24^(1/12))-1</f>
        <v>0.0343660831319166</v>
      </c>
      <c r="G24" s="8" t="n">
        <f aca="false">F24*100</f>
        <v>3.43660831319166</v>
      </c>
      <c r="H24" s="6"/>
      <c r="J24" s="6" t="n">
        <v>21</v>
      </c>
      <c r="K24" s="8" t="n">
        <f aca="false">P23</f>
        <v>83536.1319404086</v>
      </c>
      <c r="L24" s="6" t="n">
        <v>50</v>
      </c>
      <c r="M24" s="6" t="n">
        <f aca="false">1+L24/100</f>
        <v>1.5</v>
      </c>
      <c r="N24" s="9" t="n">
        <f aca="false">(M24^(1/12))-1</f>
        <v>0.0343660831319166</v>
      </c>
      <c r="O24" s="8" t="n">
        <f aca="false">N24*100</f>
        <v>3.43660831319166</v>
      </c>
      <c r="P24" s="8" t="n">
        <f aca="false">K24*(1+N24)</f>
        <v>86406.9415951914</v>
      </c>
      <c r="R24" s="6" t="n">
        <v>21</v>
      </c>
      <c r="S24" s="10" t="n">
        <f aca="false">X23</f>
        <v>187002679.659238</v>
      </c>
      <c r="T24" s="6" t="n">
        <v>20</v>
      </c>
      <c r="U24" s="8" t="n">
        <f aca="false">1+T24/100</f>
        <v>1.2</v>
      </c>
      <c r="V24" s="11" t="n">
        <f aca="false">(U24^(1/12))-1</f>
        <v>0.0153094704997312</v>
      </c>
      <c r="W24" s="8" t="n">
        <f aca="false">V24*100</f>
        <v>1.53094704997312</v>
      </c>
      <c r="X24" s="10" t="n">
        <f aca="false">S24*(1+V24)</f>
        <v>189865591.666852</v>
      </c>
    </row>
    <row r="25" customFormat="false" ht="15" hidden="false" customHeight="false" outlineLevel="0" collapsed="false">
      <c r="J25" s="6" t="n">
        <v>22</v>
      </c>
      <c r="K25" s="8" t="n">
        <f aca="false">P24</f>
        <v>86406.9415951914</v>
      </c>
      <c r="L25" s="6" t="n">
        <v>50</v>
      </c>
      <c r="M25" s="6" t="n">
        <f aca="false">1+L25/100</f>
        <v>1.5</v>
      </c>
      <c r="N25" s="9" t="n">
        <f aca="false">(M25^(1/12))-1</f>
        <v>0.0343660831319166</v>
      </c>
      <c r="O25" s="8" t="n">
        <f aca="false">N25*100</f>
        <v>3.43660831319166</v>
      </c>
      <c r="P25" s="8" t="n">
        <f aca="false">K25*(1+N25)</f>
        <v>89376.4097332264</v>
      </c>
      <c r="R25" s="6" t="n">
        <v>22</v>
      </c>
      <c r="S25" s="10" t="n">
        <f aca="false">X24</f>
        <v>189865591.666852</v>
      </c>
      <c r="T25" s="6" t="n">
        <v>20</v>
      </c>
      <c r="U25" s="8" t="n">
        <f aca="false">1+T25/100</f>
        <v>1.2</v>
      </c>
      <c r="V25" s="11" t="n">
        <f aca="false">(U25^(1/12))-1</f>
        <v>0.0153094704997312</v>
      </c>
      <c r="W25" s="8" t="n">
        <f aca="false">V25*100</f>
        <v>1.53094704997312</v>
      </c>
      <c r="X25" s="10" t="n">
        <f aca="false">S25*(1+V25)</f>
        <v>192772333.341389</v>
      </c>
    </row>
    <row r="26" customFormat="false" ht="15" hidden="false" customHeight="false" outlineLevel="0" collapsed="false">
      <c r="J26" s="6" t="n">
        <v>23</v>
      </c>
      <c r="K26" s="8" t="n">
        <f aca="false">P25</f>
        <v>89376.4097332264</v>
      </c>
      <c r="L26" s="6" t="n">
        <v>50</v>
      </c>
      <c r="M26" s="6" t="n">
        <f aca="false">1+L26/100</f>
        <v>1.5</v>
      </c>
      <c r="N26" s="9" t="n">
        <f aca="false">(M26^(1/12))-1</f>
        <v>0.0343660831319166</v>
      </c>
      <c r="O26" s="8" t="n">
        <f aca="false">N26*100</f>
        <v>3.43660831319166</v>
      </c>
      <c r="P26" s="8" t="n">
        <f aca="false">K26*(1+N26)</f>
        <v>92447.9268601507</v>
      </c>
      <c r="R26" s="6" t="n">
        <v>23</v>
      </c>
      <c r="S26" s="10" t="n">
        <f aca="false">X25</f>
        <v>192772333.341389</v>
      </c>
      <c r="T26" s="6" t="n">
        <v>20</v>
      </c>
      <c r="U26" s="8" t="n">
        <f aca="false">1+T26/100</f>
        <v>1.2</v>
      </c>
      <c r="V26" s="11" t="n">
        <f aca="false">(U26^(1/12))-1</f>
        <v>0.0153094704997312</v>
      </c>
      <c r="W26" s="8" t="n">
        <f aca="false">V26*100</f>
        <v>1.53094704997312</v>
      </c>
      <c r="X26" s="10" t="n">
        <f aca="false">S26*(1+V26)</f>
        <v>195723575.691844</v>
      </c>
    </row>
    <row r="27" customFormat="false" ht="15" hidden="false" customHeight="true" outlineLevel="0" collapsed="false">
      <c r="B27" s="15" t="s">
        <v>30</v>
      </c>
      <c r="C27" s="15"/>
      <c r="D27" s="15"/>
      <c r="E27" s="15"/>
      <c r="F27" s="15"/>
      <c r="G27" s="15"/>
      <c r="H27" s="15"/>
      <c r="J27" s="6" t="n">
        <v>24</v>
      </c>
      <c r="K27" s="8" t="n">
        <f aca="false">P26</f>
        <v>92447.9268601507</v>
      </c>
      <c r="L27" s="6" t="n">
        <v>50</v>
      </c>
      <c r="M27" s="6" t="n">
        <f aca="false">1+L27/100</f>
        <v>1.5</v>
      </c>
      <c r="N27" s="9" t="n">
        <f aca="false">(M27^(1/12))-1</f>
        <v>0.0343660831319166</v>
      </c>
      <c r="O27" s="8" t="n">
        <f aca="false">N27*100</f>
        <v>3.43660831319166</v>
      </c>
      <c r="P27" s="8" t="n">
        <f aca="false">K27*(1+N27)</f>
        <v>95625</v>
      </c>
      <c r="R27" s="6" t="n">
        <v>24</v>
      </c>
      <c r="S27" s="10" t="n">
        <f aca="false">X26</f>
        <v>195723575.691844</v>
      </c>
      <c r="T27" s="6" t="n">
        <v>20</v>
      </c>
      <c r="U27" s="8" t="n">
        <f aca="false">1+T27/100</f>
        <v>1.2</v>
      </c>
      <c r="V27" s="11" t="n">
        <f aca="false">(U27^(1/12))-1</f>
        <v>0.0153094704997312</v>
      </c>
      <c r="W27" s="8" t="n">
        <f aca="false">V27*100</f>
        <v>1.53094704997312</v>
      </c>
      <c r="X27" s="10" t="n">
        <f aca="false">S27*(1+V27)</f>
        <v>198720000</v>
      </c>
    </row>
    <row r="28" customFormat="false" ht="15" hidden="false" customHeight="false" outlineLevel="0" collapsed="false">
      <c r="B28" s="15"/>
      <c r="C28" s="15"/>
      <c r="D28" s="15"/>
      <c r="E28" s="15"/>
      <c r="F28" s="15"/>
      <c r="G28" s="15"/>
      <c r="H28" s="15"/>
      <c r="J28" s="6" t="n">
        <v>25</v>
      </c>
      <c r="K28" s="8" t="n">
        <f aca="false">P27</f>
        <v>95625</v>
      </c>
      <c r="L28" s="6" t="n">
        <v>50</v>
      </c>
      <c r="M28" s="6" t="n">
        <f aca="false">1+L28/100</f>
        <v>1.5</v>
      </c>
      <c r="N28" s="9" t="n">
        <f aca="false">(M28^(1/12))-1</f>
        <v>0.0343660831319166</v>
      </c>
      <c r="O28" s="8" t="n">
        <f aca="false">N28*100</f>
        <v>3.43660831319166</v>
      </c>
      <c r="P28" s="8" t="n">
        <f aca="false">K28*(1+N28)</f>
        <v>98911.2566994895</v>
      </c>
      <c r="R28" s="6" t="n">
        <v>25</v>
      </c>
      <c r="S28" s="10" t="n">
        <f aca="false">X27</f>
        <v>198720000</v>
      </c>
      <c r="T28" s="6" t="n">
        <v>20</v>
      </c>
      <c r="U28" s="8" t="n">
        <f aca="false">1+T28/100</f>
        <v>1.2</v>
      </c>
      <c r="V28" s="11" t="n">
        <f aca="false">(U28^(1/12))-1</f>
        <v>0.0153094704997312</v>
      </c>
      <c r="W28" s="8" t="n">
        <f aca="false">V28*100</f>
        <v>1.53094704997312</v>
      </c>
      <c r="X28" s="10" t="n">
        <f aca="false">S28*(1+V28)</f>
        <v>201762297.977707</v>
      </c>
    </row>
    <row r="29" customFormat="false" ht="15" hidden="false" customHeight="false" outlineLevel="0" collapsed="false">
      <c r="B29" s="15"/>
      <c r="C29" s="15"/>
      <c r="D29" s="15"/>
      <c r="E29" s="15"/>
      <c r="F29" s="15"/>
      <c r="G29" s="15"/>
      <c r="H29" s="15"/>
      <c r="J29" s="6" t="n">
        <v>26</v>
      </c>
      <c r="K29" s="8" t="n">
        <f aca="false">P28</f>
        <v>98911.2566994895</v>
      </c>
      <c r="L29" s="6" t="n">
        <v>50</v>
      </c>
      <c r="M29" s="6" t="n">
        <f aca="false">1+L29/100</f>
        <v>1.5</v>
      </c>
      <c r="N29" s="9" t="n">
        <f aca="false">(M29^(1/12))-1</f>
        <v>0.0343660831319166</v>
      </c>
      <c r="O29" s="8" t="n">
        <f aca="false">N29*100</f>
        <v>3.43660831319166</v>
      </c>
      <c r="P29" s="8" t="n">
        <f aca="false">K29*(1+N29)</f>
        <v>102310.449169907</v>
      </c>
      <c r="R29" s="6" t="n">
        <v>26</v>
      </c>
      <c r="S29" s="10" t="n">
        <f aca="false">X28</f>
        <v>201762297.977707</v>
      </c>
      <c r="T29" s="6" t="n">
        <v>20</v>
      </c>
      <c r="U29" s="8" t="n">
        <f aca="false">1+T29/100</f>
        <v>1.2</v>
      </c>
      <c r="V29" s="11" t="n">
        <f aca="false">(U29^(1/12))-1</f>
        <v>0.0153094704997312</v>
      </c>
      <c r="W29" s="8" t="n">
        <f aca="false">V29*100</f>
        <v>1.53094704997312</v>
      </c>
      <c r="X29" s="10" t="n">
        <f aca="false">S29*(1+V29)</f>
        <v>204851171.926554</v>
      </c>
    </row>
    <row r="30" customFormat="false" ht="15" hidden="false" customHeight="false" outlineLevel="0" collapsed="false">
      <c r="B30" s="15"/>
      <c r="C30" s="15"/>
      <c r="D30" s="15"/>
      <c r="E30" s="15"/>
      <c r="F30" s="15"/>
      <c r="G30" s="15"/>
      <c r="H30" s="15"/>
      <c r="J30" s="6" t="n">
        <v>27</v>
      </c>
      <c r="K30" s="8" t="n">
        <f aca="false">P29</f>
        <v>102310.449169907</v>
      </c>
      <c r="L30" s="6" t="n">
        <v>50</v>
      </c>
      <c r="M30" s="6" t="n">
        <f aca="false">1+L30/100</f>
        <v>1.5</v>
      </c>
      <c r="N30" s="9" t="n">
        <f aca="false">(M30^(1/12))-1</f>
        <v>0.0343660831319166</v>
      </c>
      <c r="O30" s="8" t="n">
        <f aca="false">N30*100</f>
        <v>3.43660831319166</v>
      </c>
      <c r="P30" s="8" t="n">
        <f aca="false">K30*(1+N30)</f>
        <v>105826.458571343</v>
      </c>
      <c r="R30" s="6" t="n">
        <v>27</v>
      </c>
      <c r="S30" s="10" t="n">
        <f aca="false">X29</f>
        <v>204851171.926554</v>
      </c>
      <c r="T30" s="6" t="n">
        <v>20</v>
      </c>
      <c r="U30" s="8" t="n">
        <f aca="false">1+T30/100</f>
        <v>1.2</v>
      </c>
      <c r="V30" s="11" t="n">
        <f aca="false">(U30^(1/12))-1</f>
        <v>0.0153094704997312</v>
      </c>
      <c r="W30" s="8" t="n">
        <f aca="false">V30*100</f>
        <v>1.53094704997312</v>
      </c>
      <c r="X30" s="10" t="n">
        <f aca="false">S30*(1+V30)</f>
        <v>207987334.899999</v>
      </c>
    </row>
    <row r="31" customFormat="false" ht="15" hidden="false" customHeight="false" outlineLevel="0" collapsed="false">
      <c r="B31" s="15"/>
      <c r="C31" s="15"/>
      <c r="D31" s="15"/>
      <c r="E31" s="15"/>
      <c r="F31" s="15"/>
      <c r="G31" s="15"/>
      <c r="H31" s="15"/>
      <c r="J31" s="6" t="n">
        <v>28</v>
      </c>
      <c r="K31" s="8" t="n">
        <f aca="false">P30</f>
        <v>105826.458571343</v>
      </c>
      <c r="L31" s="6" t="n">
        <v>50</v>
      </c>
      <c r="M31" s="6" t="n">
        <f aca="false">1+L31/100</f>
        <v>1.5</v>
      </c>
      <c r="N31" s="9" t="n">
        <f aca="false">(M31^(1/12))-1</f>
        <v>0.0343660831319166</v>
      </c>
      <c r="O31" s="8" t="n">
        <f aca="false">N31*100</f>
        <v>3.43660831319166</v>
      </c>
      <c r="P31" s="8" t="n">
        <f aca="false">K31*(1+N31)</f>
        <v>109463.299444162</v>
      </c>
      <c r="R31" s="6" t="n">
        <v>28</v>
      </c>
      <c r="S31" s="10" t="n">
        <f aca="false">X30</f>
        <v>207987334.899999</v>
      </c>
      <c r="T31" s="6" t="n">
        <v>20</v>
      </c>
      <c r="U31" s="8" t="n">
        <f aca="false">1+T31/100</f>
        <v>1.2</v>
      </c>
      <c r="V31" s="11" t="n">
        <f aca="false">(U31^(1/12))-1</f>
        <v>0.0153094704997312</v>
      </c>
      <c r="W31" s="8" t="n">
        <f aca="false">V31*100</f>
        <v>1.53094704997312</v>
      </c>
      <c r="X31" s="10" t="n">
        <f aca="false">S31*(1+V31)</f>
        <v>211171510.867968</v>
      </c>
    </row>
    <row r="32" customFormat="false" ht="15" hidden="false" customHeight="false" outlineLevel="0" collapsed="false">
      <c r="B32" s="15"/>
      <c r="C32" s="15"/>
      <c r="D32" s="15"/>
      <c r="E32" s="15"/>
      <c r="F32" s="15"/>
      <c r="G32" s="15"/>
      <c r="H32" s="15"/>
      <c r="J32" s="6" t="n">
        <v>29</v>
      </c>
      <c r="K32" s="8" t="n">
        <f aca="false">P31</f>
        <v>109463.299444162</v>
      </c>
      <c r="L32" s="6" t="n">
        <v>50</v>
      </c>
      <c r="M32" s="6" t="n">
        <f aca="false">1+L32/100</f>
        <v>1.5</v>
      </c>
      <c r="N32" s="9" t="n">
        <f aca="false">(M32^(1/12))-1</f>
        <v>0.0343660831319166</v>
      </c>
      <c r="O32" s="8" t="n">
        <f aca="false">N32*100</f>
        <v>3.43660831319166</v>
      </c>
      <c r="P32" s="8" t="n">
        <f aca="false">K32*(1+N32)</f>
        <v>113225.124292754</v>
      </c>
      <c r="R32" s="6" t="n">
        <v>29</v>
      </c>
      <c r="S32" s="10" t="n">
        <f aca="false">X31</f>
        <v>211171510.867968</v>
      </c>
      <c r="T32" s="6" t="n">
        <v>20</v>
      </c>
      <c r="U32" s="8" t="n">
        <f aca="false">1+T32/100</f>
        <v>1.2</v>
      </c>
      <c r="V32" s="11" t="n">
        <f aca="false">(U32^(1/12))-1</f>
        <v>0.0153094704997312</v>
      </c>
      <c r="W32" s="8" t="n">
        <f aca="false">V32*100</f>
        <v>1.53094704997312</v>
      </c>
      <c r="X32" s="10" t="n">
        <f aca="false">S32*(1+V32)</f>
        <v>214404434.883985</v>
      </c>
    </row>
    <row r="33" customFormat="false" ht="15" hidden="false" customHeight="false" outlineLevel="0" collapsed="false">
      <c r="B33" s="15"/>
      <c r="C33" s="15"/>
      <c r="D33" s="15"/>
      <c r="E33" s="15"/>
      <c r="F33" s="15"/>
      <c r="G33" s="15"/>
      <c r="H33" s="15"/>
      <c r="J33" s="6" t="n">
        <v>30</v>
      </c>
      <c r="K33" s="8" t="n">
        <f aca="false">P32</f>
        <v>113225.124292754</v>
      </c>
      <c r="L33" s="6" t="n">
        <v>50</v>
      </c>
      <c r="M33" s="6" t="n">
        <f aca="false">1+L33/100</f>
        <v>1.5</v>
      </c>
      <c r="N33" s="9" t="n">
        <f aca="false">(M33^(1/12))-1</f>
        <v>0.0343660831319166</v>
      </c>
      <c r="O33" s="8" t="n">
        <f aca="false">N33*100</f>
        <v>3.43660831319166</v>
      </c>
      <c r="P33" s="8" t="n">
        <f aca="false">K33*(1+N33)</f>
        <v>117116.228326821</v>
      </c>
      <c r="R33" s="6" t="n">
        <v>30</v>
      </c>
      <c r="S33" s="10" t="n">
        <f aca="false">X32</f>
        <v>214404434.883985</v>
      </c>
      <c r="T33" s="6" t="n">
        <v>20</v>
      </c>
      <c r="U33" s="8" t="n">
        <f aca="false">1+T33/100</f>
        <v>1.2</v>
      </c>
      <c r="V33" s="11" t="n">
        <f aca="false">(U33^(1/12))-1</f>
        <v>0.0153094704997312</v>
      </c>
      <c r="W33" s="8" t="n">
        <f aca="false">V33*100</f>
        <v>1.53094704997312</v>
      </c>
      <c r="X33" s="10" t="n">
        <f aca="false">S33*(1+V33)</f>
        <v>217686853.254853</v>
      </c>
    </row>
    <row r="34" customFormat="false" ht="15" hidden="false" customHeight="false" outlineLevel="0" collapsed="false">
      <c r="B34" s="15"/>
      <c r="C34" s="15"/>
      <c r="D34" s="15"/>
      <c r="E34" s="15"/>
      <c r="F34" s="15"/>
      <c r="G34" s="15"/>
      <c r="H34" s="15"/>
      <c r="J34" s="6" t="n">
        <v>31</v>
      </c>
      <c r="K34" s="8" t="n">
        <f aca="false">P33</f>
        <v>117116.228326821</v>
      </c>
      <c r="L34" s="6" t="n">
        <v>50</v>
      </c>
      <c r="M34" s="6" t="n">
        <f aca="false">1+L34/100</f>
        <v>1.5</v>
      </c>
      <c r="N34" s="9" t="n">
        <f aca="false">(M34^(1/12))-1</f>
        <v>0.0343660831319166</v>
      </c>
      <c r="O34" s="8" t="n">
        <f aca="false">N34*100</f>
        <v>3.43660831319166</v>
      </c>
      <c r="P34" s="8" t="n">
        <f aca="false">K34*(1+N34)</f>
        <v>121141.054365597</v>
      </c>
      <c r="R34" s="6" t="n">
        <v>31</v>
      </c>
      <c r="S34" s="10" t="n">
        <f aca="false">X33</f>
        <v>217686853.254853</v>
      </c>
      <c r="T34" s="6" t="n">
        <v>20</v>
      </c>
      <c r="U34" s="8" t="n">
        <f aca="false">1+T34/100</f>
        <v>1.2</v>
      </c>
      <c r="V34" s="11" t="n">
        <f aca="false">(U34^(1/12))-1</f>
        <v>0.0153094704997312</v>
      </c>
      <c r="W34" s="8" t="n">
        <f aca="false">V34*100</f>
        <v>1.53094704997312</v>
      </c>
      <c r="X34" s="10" t="n">
        <f aca="false">S34*(1+V34)</f>
        <v>221019523.712938</v>
      </c>
    </row>
    <row r="35" customFormat="false" ht="15" hidden="false" customHeight="false" outlineLevel="0" collapsed="false">
      <c r="B35" s="15"/>
      <c r="C35" s="15"/>
      <c r="D35" s="15"/>
      <c r="E35" s="15"/>
      <c r="F35" s="15"/>
      <c r="G35" s="15"/>
      <c r="H35" s="15"/>
      <c r="J35" s="6" t="n">
        <v>32</v>
      </c>
      <c r="K35" s="8" t="n">
        <f aca="false">P34</f>
        <v>121141.054365597</v>
      </c>
      <c r="L35" s="6" t="n">
        <v>50</v>
      </c>
      <c r="M35" s="6" t="n">
        <f aca="false">1+L35/100</f>
        <v>1.5</v>
      </c>
      <c r="N35" s="9" t="n">
        <f aca="false">(M35^(1/12))-1</f>
        <v>0.0343660831319166</v>
      </c>
      <c r="O35" s="8" t="n">
        <f aca="false">N35*100</f>
        <v>3.43660831319166</v>
      </c>
      <c r="P35" s="8" t="n">
        <f aca="false">K35*(1+N35)</f>
        <v>125304.197910613</v>
      </c>
      <c r="R35" s="6" t="n">
        <v>32</v>
      </c>
      <c r="S35" s="10" t="n">
        <f aca="false">X34</f>
        <v>221019523.712938</v>
      </c>
      <c r="T35" s="6" t="n">
        <v>20</v>
      </c>
      <c r="U35" s="8" t="n">
        <f aca="false">1+T35/100</f>
        <v>1.2</v>
      </c>
      <c r="V35" s="11" t="n">
        <f aca="false">(U35^(1/12))-1</f>
        <v>0.0153094704997312</v>
      </c>
      <c r="W35" s="8" t="n">
        <f aca="false">V35*100</f>
        <v>1.53094704997312</v>
      </c>
      <c r="X35" s="10" t="n">
        <f aca="false">S35*(1+V35)</f>
        <v>224403215.591086</v>
      </c>
    </row>
    <row r="36" customFormat="false" ht="15" hidden="false" customHeight="false" outlineLevel="0" collapsed="false">
      <c r="J36" s="6" t="n">
        <v>33</v>
      </c>
      <c r="K36" s="8" t="n">
        <f aca="false">P35</f>
        <v>125304.197910613</v>
      </c>
      <c r="L36" s="6" t="n">
        <v>50</v>
      </c>
      <c r="M36" s="6" t="n">
        <f aca="false">1+L36/100</f>
        <v>1.5</v>
      </c>
      <c r="N36" s="9" t="n">
        <f aca="false">(M36^(1/12))-1</f>
        <v>0.0343660831319166</v>
      </c>
      <c r="O36" s="8" t="n">
        <f aca="false">N36*100</f>
        <v>3.43660831319166</v>
      </c>
      <c r="P36" s="8" t="n">
        <f aca="false">K36*(1+N36)</f>
        <v>129610.412392787</v>
      </c>
      <c r="R36" s="6" t="n">
        <v>33</v>
      </c>
      <c r="S36" s="10" t="n">
        <f aca="false">X35</f>
        <v>224403215.591086</v>
      </c>
      <c r="T36" s="6" t="n">
        <v>20</v>
      </c>
      <c r="U36" s="8" t="n">
        <f aca="false">1+T36/100</f>
        <v>1.2</v>
      </c>
      <c r="V36" s="11" t="n">
        <f aca="false">(U36^(1/12))-1</f>
        <v>0.0153094704997312</v>
      </c>
      <c r="W36" s="8" t="n">
        <f aca="false">V36*100</f>
        <v>1.53094704997312</v>
      </c>
      <c r="X36" s="10" t="n">
        <f aca="false">S36*(1+V36)</f>
        <v>227838710.000222</v>
      </c>
    </row>
    <row r="37" customFormat="false" ht="15" hidden="false" customHeight="false" outlineLevel="0" collapsed="false">
      <c r="J37" s="6" t="n">
        <v>34</v>
      </c>
      <c r="K37" s="8" t="n">
        <f aca="false">P36</f>
        <v>129610.412392787</v>
      </c>
      <c r="L37" s="6" t="n">
        <v>50</v>
      </c>
      <c r="M37" s="6" t="n">
        <f aca="false">1+L37/100</f>
        <v>1.5</v>
      </c>
      <c r="N37" s="9" t="n">
        <f aca="false">(M37^(1/12))-1</f>
        <v>0.0343660831319166</v>
      </c>
      <c r="O37" s="8" t="n">
        <f aca="false">N37*100</f>
        <v>3.43660831319166</v>
      </c>
      <c r="P37" s="8" t="n">
        <f aca="false">K37*(1+N37)</f>
        <v>134064.61459984</v>
      </c>
      <c r="R37" s="6" t="n">
        <v>34</v>
      </c>
      <c r="S37" s="10" t="n">
        <f aca="false">X36</f>
        <v>227838710.000222</v>
      </c>
      <c r="T37" s="6" t="n">
        <v>20</v>
      </c>
      <c r="U37" s="8" t="n">
        <f aca="false">1+T37/100</f>
        <v>1.2</v>
      </c>
      <c r="V37" s="11" t="n">
        <f aca="false">(U37^(1/12))-1</f>
        <v>0.0153094704997312</v>
      </c>
      <c r="W37" s="8" t="n">
        <f aca="false">V37*100</f>
        <v>1.53094704997312</v>
      </c>
      <c r="X37" s="10" t="n">
        <f aca="false">S37*(1+V37)</f>
        <v>231326800.009667</v>
      </c>
    </row>
    <row r="38" customFormat="false" ht="15" hidden="false" customHeight="false" outlineLevel="0" collapsed="false">
      <c r="J38" s="6" t="n">
        <v>35</v>
      </c>
      <c r="K38" s="8" t="n">
        <f aca="false">P37</f>
        <v>134064.61459984</v>
      </c>
      <c r="L38" s="6" t="n">
        <v>50</v>
      </c>
      <c r="M38" s="6" t="n">
        <f aca="false">1+L38/100</f>
        <v>1.5</v>
      </c>
      <c r="N38" s="9" t="n">
        <f aca="false">(M38^(1/12))-1</f>
        <v>0.0343660831319166</v>
      </c>
      <c r="O38" s="8" t="n">
        <f aca="false">N38*100</f>
        <v>3.43660831319166</v>
      </c>
      <c r="P38" s="8" t="n">
        <f aca="false">K38*(1+N38)</f>
        <v>138671.890290226</v>
      </c>
      <c r="R38" s="6" t="n">
        <v>35</v>
      </c>
      <c r="S38" s="10" t="n">
        <f aca="false">X37</f>
        <v>231326800.009667</v>
      </c>
      <c r="T38" s="6" t="n">
        <v>20</v>
      </c>
      <c r="U38" s="8" t="n">
        <f aca="false">1+T38/100</f>
        <v>1.2</v>
      </c>
      <c r="V38" s="11" t="n">
        <f aca="false">(U38^(1/12))-1</f>
        <v>0.0153094704997312</v>
      </c>
      <c r="W38" s="8" t="n">
        <f aca="false">V38*100</f>
        <v>1.53094704997312</v>
      </c>
      <c r="X38" s="10" t="n">
        <f aca="false">S38*(1+V38)</f>
        <v>234868290.830213</v>
      </c>
    </row>
    <row r="39" customFormat="false" ht="15" hidden="false" customHeight="false" outlineLevel="0" collapsed="false">
      <c r="J39" s="6" t="n">
        <v>36</v>
      </c>
      <c r="K39" s="8" t="n">
        <f aca="false">P38</f>
        <v>138671.890290226</v>
      </c>
      <c r="L39" s="6" t="n">
        <v>50</v>
      </c>
      <c r="M39" s="6" t="n">
        <f aca="false">1+L39/100</f>
        <v>1.5</v>
      </c>
      <c r="N39" s="9" t="n">
        <f aca="false">(M39^(1/12))-1</f>
        <v>0.0343660831319166</v>
      </c>
      <c r="O39" s="8" t="n">
        <f aca="false">N39*100</f>
        <v>3.43660831319166</v>
      </c>
      <c r="P39" s="8" t="n">
        <f aca="false">K39*(1+N39)</f>
        <v>143437.5</v>
      </c>
      <c r="R39" s="6" t="n">
        <v>36</v>
      </c>
      <c r="S39" s="10" t="n">
        <f aca="false">X38</f>
        <v>234868290.830213</v>
      </c>
      <c r="T39" s="6" t="n">
        <v>20</v>
      </c>
      <c r="U39" s="8" t="n">
        <f aca="false">1+T39/100</f>
        <v>1.2</v>
      </c>
      <c r="V39" s="11" t="n">
        <f aca="false">(U39^(1/12))-1</f>
        <v>0.0153094704997312</v>
      </c>
      <c r="W39" s="8" t="n">
        <f aca="false">V39*100</f>
        <v>1.53094704997312</v>
      </c>
      <c r="X39" s="10" t="n">
        <f aca="false">S39*(1+V39)</f>
        <v>238464000</v>
      </c>
    </row>
    <row r="40" customFormat="false" ht="15" hidden="false" customHeight="false" outlineLevel="0" collapsed="false">
      <c r="J40" s="6" t="n">
        <v>37</v>
      </c>
      <c r="K40" s="8" t="n">
        <f aca="false">P39</f>
        <v>143437.5</v>
      </c>
      <c r="L40" s="6" t="n">
        <v>50</v>
      </c>
      <c r="M40" s="6" t="n">
        <f aca="false">1+L40/100</f>
        <v>1.5</v>
      </c>
      <c r="N40" s="9" t="n">
        <f aca="false">(M40^(1/12))-1</f>
        <v>0.0343660831319166</v>
      </c>
      <c r="O40" s="8" t="n">
        <f aca="false">N40*100</f>
        <v>3.43660831319166</v>
      </c>
      <c r="P40" s="8" t="n">
        <f aca="false">K40*(1+N40)</f>
        <v>148366.885049234</v>
      </c>
      <c r="R40" s="6" t="n">
        <v>37</v>
      </c>
      <c r="S40" s="10" t="n">
        <f aca="false">X39</f>
        <v>238464000</v>
      </c>
      <c r="T40" s="6" t="n">
        <v>20</v>
      </c>
      <c r="U40" s="8" t="n">
        <f aca="false">1+T40/100</f>
        <v>1.2</v>
      </c>
      <c r="V40" s="11" t="n">
        <f aca="false">(U40^(1/12))-1</f>
        <v>0.0153094704997312</v>
      </c>
      <c r="W40" s="8" t="n">
        <f aca="false">V40*100</f>
        <v>1.53094704997312</v>
      </c>
      <c r="X40" s="10" t="n">
        <f aca="false">S40*(1+V40)</f>
        <v>242114757.573248</v>
      </c>
    </row>
    <row r="41" customFormat="false" ht="15" hidden="false" customHeight="false" outlineLevel="0" collapsed="false">
      <c r="J41" s="6" t="n">
        <v>38</v>
      </c>
      <c r="K41" s="8" t="n">
        <f aca="false">P40</f>
        <v>148366.885049234</v>
      </c>
      <c r="L41" s="6" t="n">
        <v>50</v>
      </c>
      <c r="M41" s="6" t="n">
        <f aca="false">1+L41/100</f>
        <v>1.5</v>
      </c>
      <c r="N41" s="9" t="n">
        <f aca="false">(M41^(1/12))-1</f>
        <v>0.0343660831319166</v>
      </c>
      <c r="O41" s="8" t="n">
        <f aca="false">N41*100</f>
        <v>3.43660831319166</v>
      </c>
      <c r="P41" s="8" t="n">
        <f aca="false">K41*(1+N41)</f>
        <v>153465.67375486</v>
      </c>
      <c r="R41" s="6" t="n">
        <v>38</v>
      </c>
      <c r="S41" s="10" t="n">
        <f aca="false">X40</f>
        <v>242114757.573248</v>
      </c>
      <c r="T41" s="6" t="n">
        <v>20</v>
      </c>
      <c r="U41" s="8" t="n">
        <f aca="false">1+T41/100</f>
        <v>1.2</v>
      </c>
      <c r="V41" s="11" t="n">
        <f aca="false">(U41^(1/12))-1</f>
        <v>0.0153094704997312</v>
      </c>
      <c r="W41" s="8" t="n">
        <f aca="false">V41*100</f>
        <v>1.53094704997312</v>
      </c>
      <c r="X41" s="10" t="n">
        <f aca="false">S41*(1+V41)</f>
        <v>245821406.311865</v>
      </c>
    </row>
    <row r="42" customFormat="false" ht="15" hidden="false" customHeight="false" outlineLevel="0" collapsed="false">
      <c r="J42" s="6" t="n">
        <v>39</v>
      </c>
      <c r="K42" s="8" t="n">
        <f aca="false">P41</f>
        <v>153465.67375486</v>
      </c>
      <c r="L42" s="6" t="n">
        <v>50</v>
      </c>
      <c r="M42" s="6" t="n">
        <f aca="false">1+L42/100</f>
        <v>1.5</v>
      </c>
      <c r="N42" s="9" t="n">
        <f aca="false">(M42^(1/12))-1</f>
        <v>0.0343660831319166</v>
      </c>
      <c r="O42" s="8" t="n">
        <f aca="false">N42*100</f>
        <v>3.43660831319166</v>
      </c>
      <c r="P42" s="8" t="n">
        <f aca="false">K42*(1+N42)</f>
        <v>158739.687857015</v>
      </c>
      <c r="R42" s="6" t="n">
        <v>39</v>
      </c>
      <c r="S42" s="10" t="n">
        <f aca="false">X41</f>
        <v>245821406.311865</v>
      </c>
      <c r="T42" s="6" t="n">
        <v>20</v>
      </c>
      <c r="U42" s="8" t="n">
        <f aca="false">1+T42/100</f>
        <v>1.2</v>
      </c>
      <c r="V42" s="11" t="n">
        <f aca="false">(U42^(1/12))-1</f>
        <v>0.0153094704997312</v>
      </c>
      <c r="W42" s="8" t="n">
        <f aca="false">V42*100</f>
        <v>1.53094704997312</v>
      </c>
      <c r="X42" s="10" t="n">
        <f aca="false">S42*(1+V42)</f>
        <v>249584801.879999</v>
      </c>
    </row>
    <row r="43" customFormat="false" ht="15" hidden="false" customHeight="false" outlineLevel="0" collapsed="false">
      <c r="J43" s="6" t="n">
        <v>40</v>
      </c>
      <c r="K43" s="8" t="n">
        <f aca="false">P42</f>
        <v>158739.687857015</v>
      </c>
      <c r="L43" s="6" t="n">
        <v>50</v>
      </c>
      <c r="M43" s="6" t="n">
        <f aca="false">1+L43/100</f>
        <v>1.5</v>
      </c>
      <c r="N43" s="9" t="n">
        <f aca="false">(M43^(1/12))-1</f>
        <v>0.0343660831319166</v>
      </c>
      <c r="O43" s="8" t="n">
        <f aca="false">N43*100</f>
        <v>3.43660831319166</v>
      </c>
      <c r="P43" s="8" t="n">
        <f aca="false">K43*(1+N43)</f>
        <v>164194.949166244</v>
      </c>
      <c r="R43" s="6" t="n">
        <v>40</v>
      </c>
      <c r="S43" s="10" t="n">
        <f aca="false">X42</f>
        <v>249584801.879999</v>
      </c>
      <c r="T43" s="6" t="n">
        <v>20</v>
      </c>
      <c r="U43" s="8" t="n">
        <f aca="false">1+T43/100</f>
        <v>1.2</v>
      </c>
      <c r="V43" s="11" t="n">
        <f aca="false">(U43^(1/12))-1</f>
        <v>0.0153094704997312</v>
      </c>
      <c r="W43" s="8" t="n">
        <f aca="false">V43*100</f>
        <v>1.53094704997312</v>
      </c>
      <c r="X43" s="10" t="n">
        <f aca="false">S43*(1+V43)</f>
        <v>253405813.041562</v>
      </c>
    </row>
    <row r="44" customFormat="false" ht="15" hidden="false" customHeight="false" outlineLevel="0" collapsed="false">
      <c r="J44" s="6" t="n">
        <v>41</v>
      </c>
      <c r="K44" s="8" t="n">
        <f aca="false">P43</f>
        <v>164194.949166244</v>
      </c>
      <c r="L44" s="6" t="n">
        <v>50</v>
      </c>
      <c r="M44" s="6" t="n">
        <f aca="false">1+L44/100</f>
        <v>1.5</v>
      </c>
      <c r="N44" s="9" t="n">
        <f aca="false">(M44^(1/12))-1</f>
        <v>0.0343660831319166</v>
      </c>
      <c r="O44" s="8" t="n">
        <f aca="false">N44*100</f>
        <v>3.43660831319166</v>
      </c>
      <c r="P44" s="8" t="n">
        <f aca="false">K44*(1+N44)</f>
        <v>169837.686439132</v>
      </c>
      <c r="R44" s="6" t="n">
        <v>41</v>
      </c>
      <c r="S44" s="10" t="n">
        <f aca="false">X43</f>
        <v>253405813.041562</v>
      </c>
      <c r="T44" s="6" t="n">
        <v>20</v>
      </c>
      <c r="U44" s="8" t="n">
        <f aca="false">1+T44/100</f>
        <v>1.2</v>
      </c>
      <c r="V44" s="11" t="n">
        <f aca="false">(U44^(1/12))-1</f>
        <v>0.0153094704997312</v>
      </c>
      <c r="W44" s="8" t="n">
        <f aca="false">V44*100</f>
        <v>1.53094704997312</v>
      </c>
      <c r="X44" s="10" t="n">
        <f aca="false">S44*(1+V44)</f>
        <v>257285321.860782</v>
      </c>
    </row>
    <row r="45" customFormat="false" ht="15" hidden="false" customHeight="false" outlineLevel="0" collapsed="false">
      <c r="J45" s="6" t="n">
        <v>42</v>
      </c>
      <c r="K45" s="8" t="n">
        <f aca="false">P44</f>
        <v>169837.686439132</v>
      </c>
      <c r="L45" s="6" t="n">
        <v>50</v>
      </c>
      <c r="M45" s="6" t="n">
        <f aca="false">1+L45/100</f>
        <v>1.5</v>
      </c>
      <c r="N45" s="9" t="n">
        <f aca="false">(M45^(1/12))-1</f>
        <v>0.0343660831319166</v>
      </c>
      <c r="O45" s="8" t="n">
        <f aca="false">N45*100</f>
        <v>3.43660831319166</v>
      </c>
      <c r="P45" s="8" t="n">
        <f aca="false">K45*(1+N45)</f>
        <v>175674.342490231</v>
      </c>
      <c r="R45" s="6" t="n">
        <v>42</v>
      </c>
      <c r="S45" s="10" t="n">
        <f aca="false">X44</f>
        <v>257285321.860782</v>
      </c>
      <c r="T45" s="6" t="n">
        <v>20</v>
      </c>
      <c r="U45" s="8" t="n">
        <f aca="false">1+T45/100</f>
        <v>1.2</v>
      </c>
      <c r="V45" s="11" t="n">
        <f aca="false">(U45^(1/12))-1</f>
        <v>0.0153094704997312</v>
      </c>
      <c r="W45" s="8" t="n">
        <f aca="false">V45*100</f>
        <v>1.53094704997312</v>
      </c>
      <c r="X45" s="10" t="n">
        <f aca="false">S45*(1+V45)</f>
        <v>261224223.905824</v>
      </c>
    </row>
    <row r="46" customFormat="false" ht="15" hidden="false" customHeight="false" outlineLevel="0" collapsed="false">
      <c r="J46" s="6" t="n">
        <v>43</v>
      </c>
      <c r="K46" s="8" t="n">
        <f aca="false">P45</f>
        <v>175674.342490231</v>
      </c>
      <c r="L46" s="6" t="n">
        <v>50</v>
      </c>
      <c r="M46" s="6" t="n">
        <f aca="false">1+L46/100</f>
        <v>1.5</v>
      </c>
      <c r="N46" s="9" t="n">
        <f aca="false">(M46^(1/12))-1</f>
        <v>0.0343660831319166</v>
      </c>
      <c r="O46" s="8" t="n">
        <f aca="false">N46*100</f>
        <v>3.43660831319166</v>
      </c>
      <c r="P46" s="8" t="n">
        <f aca="false">K46*(1+N46)</f>
        <v>181711.581548395</v>
      </c>
      <c r="R46" s="6" t="n">
        <v>43</v>
      </c>
      <c r="S46" s="10" t="n">
        <f aca="false">X45</f>
        <v>261224223.905824</v>
      </c>
      <c r="T46" s="6" t="n">
        <v>20</v>
      </c>
      <c r="U46" s="8" t="n">
        <f aca="false">1+T46/100</f>
        <v>1.2</v>
      </c>
      <c r="V46" s="11" t="n">
        <f aca="false">(U46^(1/12))-1</f>
        <v>0.0153094704997312</v>
      </c>
      <c r="W46" s="8" t="n">
        <f aca="false">V46*100</f>
        <v>1.53094704997312</v>
      </c>
      <c r="X46" s="10" t="n">
        <f aca="false">S46*(1+V46)</f>
        <v>265223428.455525</v>
      </c>
    </row>
    <row r="47" customFormat="false" ht="15" hidden="false" customHeight="false" outlineLevel="0" collapsed="false">
      <c r="J47" s="6" t="n">
        <v>44</v>
      </c>
      <c r="K47" s="8" t="n">
        <f aca="false">P46</f>
        <v>181711.581548395</v>
      </c>
      <c r="L47" s="6" t="n">
        <v>50</v>
      </c>
      <c r="M47" s="6" t="n">
        <f aca="false">1+L47/100</f>
        <v>1.5</v>
      </c>
      <c r="N47" s="9" t="n">
        <f aca="false">(M47^(1/12))-1</f>
        <v>0.0343660831319166</v>
      </c>
      <c r="O47" s="8" t="n">
        <f aca="false">N47*100</f>
        <v>3.43660831319166</v>
      </c>
      <c r="P47" s="8" t="n">
        <f aca="false">K47*(1+N47)</f>
        <v>187956.296865919</v>
      </c>
      <c r="R47" s="6" t="n">
        <v>44</v>
      </c>
      <c r="S47" s="10" t="n">
        <f aca="false">X46</f>
        <v>265223428.455525</v>
      </c>
      <c r="T47" s="6" t="n">
        <v>20</v>
      </c>
      <c r="U47" s="8" t="n">
        <f aca="false">1+T47/100</f>
        <v>1.2</v>
      </c>
      <c r="V47" s="11" t="n">
        <f aca="false">(U47^(1/12))-1</f>
        <v>0.0153094704997312</v>
      </c>
      <c r="W47" s="8" t="n">
        <f aca="false">V47*100</f>
        <v>1.53094704997312</v>
      </c>
      <c r="X47" s="10" t="n">
        <f aca="false">S47*(1+V47)</f>
        <v>269283858.709303</v>
      </c>
    </row>
    <row r="48" customFormat="false" ht="15" hidden="false" customHeight="false" outlineLevel="0" collapsed="false">
      <c r="J48" s="6" t="n">
        <v>45</v>
      </c>
      <c r="K48" s="8" t="n">
        <f aca="false">P47</f>
        <v>187956.296865919</v>
      </c>
      <c r="L48" s="6" t="n">
        <v>50</v>
      </c>
      <c r="M48" s="6" t="n">
        <f aca="false">1+L48/100</f>
        <v>1.5</v>
      </c>
      <c r="N48" s="9" t="n">
        <f aca="false">(M48^(1/12))-1</f>
        <v>0.0343660831319166</v>
      </c>
      <c r="O48" s="8" t="n">
        <f aca="false">N48*100</f>
        <v>3.43660831319166</v>
      </c>
      <c r="P48" s="8" t="n">
        <f aca="false">K48*(1+N48)</f>
        <v>194415.618589181</v>
      </c>
      <c r="R48" s="6" t="n">
        <v>45</v>
      </c>
      <c r="S48" s="10" t="n">
        <f aca="false">X47</f>
        <v>269283858.709303</v>
      </c>
      <c r="T48" s="6" t="n">
        <v>20</v>
      </c>
      <c r="U48" s="8" t="n">
        <f aca="false">1+T48/100</f>
        <v>1.2</v>
      </c>
      <c r="V48" s="11" t="n">
        <f aca="false">(U48^(1/12))-1</f>
        <v>0.0153094704997312</v>
      </c>
      <c r="W48" s="8" t="n">
        <f aca="false">V48*100</f>
        <v>1.53094704997312</v>
      </c>
      <c r="X48" s="10" t="n">
        <f aca="false">S48*(1+V48)</f>
        <v>273406452.000267</v>
      </c>
    </row>
    <row r="49" customFormat="false" ht="15" hidden="false" customHeight="false" outlineLevel="0" collapsed="false">
      <c r="J49" s="6" t="n">
        <v>46</v>
      </c>
      <c r="K49" s="8" t="n">
        <f aca="false">P48</f>
        <v>194415.618589181</v>
      </c>
      <c r="L49" s="6" t="n">
        <v>50</v>
      </c>
      <c r="M49" s="6" t="n">
        <f aca="false">1+L49/100</f>
        <v>1.5</v>
      </c>
      <c r="N49" s="9" t="n">
        <f aca="false">(M49^(1/12))-1</f>
        <v>0.0343660831319166</v>
      </c>
      <c r="O49" s="8" t="n">
        <f aca="false">N49*100</f>
        <v>3.43660831319166</v>
      </c>
      <c r="P49" s="8" t="n">
        <f aca="false">K49*(1+N49)</f>
        <v>201096.921899759</v>
      </c>
      <c r="R49" s="6" t="n">
        <v>46</v>
      </c>
      <c r="S49" s="10" t="n">
        <f aca="false">X48</f>
        <v>273406452.000267</v>
      </c>
      <c r="T49" s="6" t="n">
        <v>20</v>
      </c>
      <c r="U49" s="8" t="n">
        <f aca="false">1+T49/100</f>
        <v>1.2</v>
      </c>
      <c r="V49" s="11" t="n">
        <f aca="false">(U49^(1/12))-1</f>
        <v>0.0153094704997312</v>
      </c>
      <c r="W49" s="8" t="n">
        <f aca="false">V49*100</f>
        <v>1.53094704997312</v>
      </c>
      <c r="X49" s="10" t="n">
        <f aca="false">S49*(1+V49)</f>
        <v>277592160.011601</v>
      </c>
    </row>
    <row r="50" customFormat="false" ht="15" hidden="false" customHeight="false" outlineLevel="0" collapsed="false">
      <c r="J50" s="6" t="n">
        <v>47</v>
      </c>
      <c r="K50" s="8" t="n">
        <f aca="false">P49</f>
        <v>201096.921899759</v>
      </c>
      <c r="L50" s="6" t="n">
        <v>50</v>
      </c>
      <c r="M50" s="6" t="n">
        <f aca="false">1+L50/100</f>
        <v>1.5</v>
      </c>
      <c r="N50" s="9" t="n">
        <f aca="false">(M50^(1/12))-1</f>
        <v>0.0343660831319166</v>
      </c>
      <c r="O50" s="8" t="n">
        <f aca="false">N50*100</f>
        <v>3.43660831319166</v>
      </c>
      <c r="P50" s="8" t="n">
        <f aca="false">K50*(1+N50)</f>
        <v>208007.835435339</v>
      </c>
      <c r="R50" s="6" t="n">
        <v>47</v>
      </c>
      <c r="S50" s="10" t="n">
        <f aca="false">X49</f>
        <v>277592160.011601</v>
      </c>
      <c r="T50" s="6" t="n">
        <v>20</v>
      </c>
      <c r="U50" s="8" t="n">
        <f aca="false">1+T50/100</f>
        <v>1.2</v>
      </c>
      <c r="V50" s="11" t="n">
        <f aca="false">(U50^(1/12))-1</f>
        <v>0.0153094704997312</v>
      </c>
      <c r="W50" s="8" t="n">
        <f aca="false">V50*100</f>
        <v>1.53094704997312</v>
      </c>
      <c r="X50" s="10" t="n">
        <f aca="false">S50*(1+V50)</f>
        <v>281841948.996255</v>
      </c>
    </row>
    <row r="51" customFormat="false" ht="15" hidden="false" customHeight="false" outlineLevel="0" collapsed="false">
      <c r="J51" s="6" t="n">
        <v>48</v>
      </c>
      <c r="K51" s="8" t="n">
        <f aca="false">P50</f>
        <v>208007.835435339</v>
      </c>
      <c r="L51" s="6" t="n">
        <v>50</v>
      </c>
      <c r="M51" s="6" t="n">
        <f aca="false">1+L51/100</f>
        <v>1.5</v>
      </c>
      <c r="N51" s="9" t="n">
        <f aca="false">(M51^(1/12))-1</f>
        <v>0.0343660831319166</v>
      </c>
      <c r="O51" s="8" t="n">
        <f aca="false">N51*100</f>
        <v>3.43660831319166</v>
      </c>
      <c r="P51" s="8" t="n">
        <f aca="false">K51*(1+N51)</f>
        <v>215156.25</v>
      </c>
      <c r="R51" s="6" t="n">
        <v>48</v>
      </c>
      <c r="S51" s="10" t="n">
        <f aca="false">X50</f>
        <v>281841948.996255</v>
      </c>
      <c r="T51" s="6" t="n">
        <v>20</v>
      </c>
      <c r="U51" s="8" t="n">
        <f aca="false">1+T51/100</f>
        <v>1.2</v>
      </c>
      <c r="V51" s="11" t="n">
        <f aca="false">(U51^(1/12))-1</f>
        <v>0.0153094704997312</v>
      </c>
      <c r="W51" s="8" t="n">
        <f aca="false">V51*100</f>
        <v>1.53094704997312</v>
      </c>
      <c r="X51" s="10" t="n">
        <f aca="false">S51*(1+V51)</f>
        <v>286156800</v>
      </c>
    </row>
    <row r="52" customFormat="false" ht="15" hidden="false" customHeight="false" outlineLevel="0" collapsed="false">
      <c r="J52" s="6" t="n">
        <v>49</v>
      </c>
      <c r="K52" s="8" t="n">
        <f aca="false">P51</f>
        <v>215156.25</v>
      </c>
      <c r="L52" s="6" t="n">
        <v>50</v>
      </c>
      <c r="M52" s="6" t="n">
        <f aca="false">1+L52/100</f>
        <v>1.5</v>
      </c>
      <c r="N52" s="9" t="n">
        <f aca="false">(M52^(1/12))-1</f>
        <v>0.0343660831319166</v>
      </c>
      <c r="O52" s="8" t="n">
        <f aca="false">N52*100</f>
        <v>3.43660831319166</v>
      </c>
      <c r="P52" s="8" t="n">
        <f aca="false">K52*(1+N52)</f>
        <v>222550.327573851</v>
      </c>
      <c r="R52" s="6" t="n">
        <v>49</v>
      </c>
      <c r="S52" s="10" t="n">
        <f aca="false">X51</f>
        <v>286156800</v>
      </c>
      <c r="T52" s="6" t="n">
        <v>20</v>
      </c>
      <c r="U52" s="8" t="n">
        <f aca="false">1+T52/100</f>
        <v>1.2</v>
      </c>
      <c r="V52" s="11" t="n">
        <f aca="false">(U52^(1/12))-1</f>
        <v>0.0153094704997312</v>
      </c>
      <c r="W52" s="8" t="n">
        <f aca="false">V52*100</f>
        <v>1.53094704997312</v>
      </c>
      <c r="X52" s="10" t="n">
        <f aca="false">S52*(1+V52)</f>
        <v>290537709.087897</v>
      </c>
    </row>
    <row r="53" customFormat="false" ht="15" hidden="false" customHeight="false" outlineLevel="0" collapsed="false">
      <c r="J53" s="6" t="n">
        <v>50</v>
      </c>
      <c r="K53" s="8" t="n">
        <f aca="false">P52</f>
        <v>222550.327573851</v>
      </c>
      <c r="L53" s="6" t="n">
        <v>50</v>
      </c>
      <c r="M53" s="6" t="n">
        <f aca="false">1+L53/100</f>
        <v>1.5</v>
      </c>
      <c r="N53" s="9" t="n">
        <f aca="false">(M53^(1/12))-1</f>
        <v>0.0343660831319166</v>
      </c>
      <c r="O53" s="8" t="n">
        <f aca="false">N53*100</f>
        <v>3.43660831319166</v>
      </c>
      <c r="P53" s="8" t="n">
        <f aca="false">K53*(1+N53)</f>
        <v>230198.51063229</v>
      </c>
      <c r="R53" s="6" t="n">
        <v>50</v>
      </c>
      <c r="S53" s="10" t="n">
        <f aca="false">X52</f>
        <v>290537709.087897</v>
      </c>
      <c r="T53" s="6" t="n">
        <v>20</v>
      </c>
      <c r="U53" s="8" t="n">
        <f aca="false">1+T53/100</f>
        <v>1.2</v>
      </c>
      <c r="V53" s="11" t="n">
        <f aca="false">(U53^(1/12))-1</f>
        <v>0.0153094704997312</v>
      </c>
      <c r="W53" s="8" t="n">
        <f aca="false">V53*100</f>
        <v>1.53094704997312</v>
      </c>
      <c r="X53" s="10" t="n">
        <f aca="false">S53*(1+V53)</f>
        <v>294985687.574238</v>
      </c>
    </row>
    <row r="54" customFormat="false" ht="15" hidden="false" customHeight="false" outlineLevel="0" collapsed="false">
      <c r="J54" s="6" t="n">
        <v>51</v>
      </c>
      <c r="K54" s="8" t="n">
        <f aca="false">P53</f>
        <v>230198.51063229</v>
      </c>
      <c r="L54" s="6" t="n">
        <v>50</v>
      </c>
      <c r="M54" s="6" t="n">
        <f aca="false">1+L54/100</f>
        <v>1.5</v>
      </c>
      <c r="N54" s="9" t="n">
        <f aca="false">(M54^(1/12))-1</f>
        <v>0.0343660831319166</v>
      </c>
      <c r="O54" s="8" t="n">
        <f aca="false">N54*100</f>
        <v>3.43660831319166</v>
      </c>
      <c r="P54" s="8" t="n">
        <f aca="false">K54*(1+N54)</f>
        <v>238109.531785522</v>
      </c>
      <c r="R54" s="6" t="n">
        <v>51</v>
      </c>
      <c r="S54" s="10" t="n">
        <f aca="false">X53</f>
        <v>294985687.574238</v>
      </c>
      <c r="T54" s="6" t="n">
        <v>20</v>
      </c>
      <c r="U54" s="8" t="n">
        <f aca="false">1+T54/100</f>
        <v>1.2</v>
      </c>
      <c r="V54" s="11" t="n">
        <f aca="false">(U54^(1/12))-1</f>
        <v>0.0153094704997312</v>
      </c>
      <c r="W54" s="8" t="n">
        <f aca="false">V54*100</f>
        <v>1.53094704997312</v>
      </c>
      <c r="X54" s="10" t="n">
        <f aca="false">S54*(1+V54)</f>
        <v>299501762.255999</v>
      </c>
    </row>
    <row r="55" customFormat="false" ht="15" hidden="false" customHeight="false" outlineLevel="0" collapsed="false">
      <c r="J55" s="6" t="n">
        <v>52</v>
      </c>
      <c r="K55" s="8" t="n">
        <f aca="false">P54</f>
        <v>238109.531785522</v>
      </c>
      <c r="L55" s="6" t="n">
        <v>50</v>
      </c>
      <c r="M55" s="6" t="n">
        <f aca="false">1+L55/100</f>
        <v>1.5</v>
      </c>
      <c r="N55" s="9" t="n">
        <f aca="false">(M55^(1/12))-1</f>
        <v>0.0343660831319166</v>
      </c>
      <c r="O55" s="8" t="n">
        <f aca="false">N55*100</f>
        <v>3.43660831319166</v>
      </c>
      <c r="P55" s="8" t="n">
        <f aca="false">K55*(1+N55)</f>
        <v>246292.423749365</v>
      </c>
      <c r="R55" s="6" t="n">
        <v>52</v>
      </c>
      <c r="S55" s="10" t="n">
        <f aca="false">X54</f>
        <v>299501762.255999</v>
      </c>
      <c r="T55" s="6" t="n">
        <v>20</v>
      </c>
      <c r="U55" s="8" t="n">
        <f aca="false">1+T55/100</f>
        <v>1.2</v>
      </c>
      <c r="V55" s="11" t="n">
        <f aca="false">(U55^(1/12))-1</f>
        <v>0.0153094704997312</v>
      </c>
      <c r="W55" s="8" t="n">
        <f aca="false">V55*100</f>
        <v>1.53094704997312</v>
      </c>
      <c r="X55" s="10" t="n">
        <f aca="false">S55*(1+V55)</f>
        <v>304086975.649874</v>
      </c>
    </row>
    <row r="56" customFormat="false" ht="15" hidden="false" customHeight="false" outlineLevel="0" collapsed="false">
      <c r="J56" s="6" t="n">
        <v>53</v>
      </c>
      <c r="K56" s="8" t="n">
        <f aca="false">P55</f>
        <v>246292.423749365</v>
      </c>
      <c r="L56" s="6" t="n">
        <v>50</v>
      </c>
      <c r="M56" s="6" t="n">
        <f aca="false">1+L56/100</f>
        <v>1.5</v>
      </c>
      <c r="N56" s="9" t="n">
        <f aca="false">(M56^(1/12))-1</f>
        <v>0.0343660831319166</v>
      </c>
      <c r="O56" s="8" t="n">
        <f aca="false">N56*100</f>
        <v>3.43660831319166</v>
      </c>
      <c r="P56" s="8" t="n">
        <f aca="false">K56*(1+N56)</f>
        <v>254756.529658697</v>
      </c>
      <c r="R56" s="6" t="n">
        <v>53</v>
      </c>
      <c r="S56" s="10" t="n">
        <f aca="false">X55</f>
        <v>304086975.649874</v>
      </c>
      <c r="T56" s="6" t="n">
        <v>20</v>
      </c>
      <c r="U56" s="8" t="n">
        <f aca="false">1+T56/100</f>
        <v>1.2</v>
      </c>
      <c r="V56" s="11" t="n">
        <f aca="false">(U56^(1/12))-1</f>
        <v>0.0153094704997312</v>
      </c>
      <c r="W56" s="8" t="n">
        <f aca="false">V56*100</f>
        <v>1.53094704997312</v>
      </c>
      <c r="X56" s="10" t="n">
        <f aca="false">S56*(1+V56)</f>
        <v>308742386.232939</v>
      </c>
    </row>
    <row r="57" customFormat="false" ht="15" hidden="false" customHeight="false" outlineLevel="0" collapsed="false">
      <c r="J57" s="6" t="n">
        <v>54</v>
      </c>
      <c r="K57" s="8" t="n">
        <f aca="false">P56</f>
        <v>254756.529658697</v>
      </c>
      <c r="L57" s="6" t="n">
        <v>50</v>
      </c>
      <c r="M57" s="6" t="n">
        <f aca="false">1+L57/100</f>
        <v>1.5</v>
      </c>
      <c r="N57" s="9" t="n">
        <f aca="false">(M57^(1/12))-1</f>
        <v>0.0343660831319166</v>
      </c>
      <c r="O57" s="8" t="n">
        <f aca="false">N57*100</f>
        <v>3.43660831319166</v>
      </c>
      <c r="P57" s="8" t="n">
        <f aca="false">K57*(1+N57)</f>
        <v>263511.513735347</v>
      </c>
      <c r="R57" s="6" t="n">
        <v>54</v>
      </c>
      <c r="S57" s="10" t="n">
        <f aca="false">X56</f>
        <v>308742386.232939</v>
      </c>
      <c r="T57" s="6" t="n">
        <v>20</v>
      </c>
      <c r="U57" s="8" t="n">
        <f aca="false">1+T57/100</f>
        <v>1.2</v>
      </c>
      <c r="V57" s="11" t="n">
        <f aca="false">(U57^(1/12))-1</f>
        <v>0.0153094704997312</v>
      </c>
      <c r="W57" s="8" t="n">
        <f aca="false">V57*100</f>
        <v>1.53094704997312</v>
      </c>
      <c r="X57" s="10" t="n">
        <f aca="false">S57*(1+V57)</f>
        <v>313469068.686989</v>
      </c>
    </row>
    <row r="58" customFormat="false" ht="15" hidden="false" customHeight="false" outlineLevel="0" collapsed="false">
      <c r="J58" s="6" t="n">
        <v>55</v>
      </c>
      <c r="K58" s="8" t="n">
        <f aca="false">P57</f>
        <v>263511.513735347</v>
      </c>
      <c r="L58" s="6" t="n">
        <v>50</v>
      </c>
      <c r="M58" s="6" t="n">
        <f aca="false">1+L58/100</f>
        <v>1.5</v>
      </c>
      <c r="N58" s="9" t="n">
        <f aca="false">(M58^(1/12))-1</f>
        <v>0.0343660831319166</v>
      </c>
      <c r="O58" s="8" t="n">
        <f aca="false">N58*100</f>
        <v>3.43660831319166</v>
      </c>
      <c r="P58" s="8" t="n">
        <f aca="false">K58*(1+N58)</f>
        <v>272567.372322593</v>
      </c>
      <c r="R58" s="6" t="n">
        <v>55</v>
      </c>
      <c r="S58" s="10" t="n">
        <f aca="false">X57</f>
        <v>313469068.686989</v>
      </c>
      <c r="T58" s="6" t="n">
        <v>20</v>
      </c>
      <c r="U58" s="8" t="n">
        <f aca="false">1+T58/100</f>
        <v>1.2</v>
      </c>
      <c r="V58" s="11" t="n">
        <f aca="false">(U58^(1/12))-1</f>
        <v>0.0153094704997312</v>
      </c>
      <c r="W58" s="8" t="n">
        <f aca="false">V58*100</f>
        <v>1.53094704997312</v>
      </c>
      <c r="X58" s="10" t="n">
        <f aca="false">S58*(1+V58)</f>
        <v>318268114.14663</v>
      </c>
    </row>
    <row r="59" customFormat="false" ht="15" hidden="false" customHeight="false" outlineLevel="0" collapsed="false">
      <c r="J59" s="6" t="n">
        <v>56</v>
      </c>
      <c r="K59" s="8" t="n">
        <f aca="false">P58</f>
        <v>272567.372322593</v>
      </c>
      <c r="L59" s="6" t="n">
        <v>50</v>
      </c>
      <c r="M59" s="6" t="n">
        <f aca="false">1+L59/100</f>
        <v>1.5</v>
      </c>
      <c r="N59" s="9" t="n">
        <f aca="false">(M59^(1/12))-1</f>
        <v>0.0343660831319166</v>
      </c>
      <c r="O59" s="8" t="n">
        <f aca="false">N59*100</f>
        <v>3.43660831319166</v>
      </c>
      <c r="P59" s="8" t="n">
        <f aca="false">K59*(1+N59)</f>
        <v>281934.445298879</v>
      </c>
      <c r="R59" s="6" t="n">
        <v>56</v>
      </c>
      <c r="S59" s="10" t="n">
        <f aca="false">X58</f>
        <v>318268114.14663</v>
      </c>
      <c r="T59" s="6" t="n">
        <v>20</v>
      </c>
      <c r="U59" s="8" t="n">
        <f aca="false">1+T59/100</f>
        <v>1.2</v>
      </c>
      <c r="V59" s="11" t="n">
        <f aca="false">(U59^(1/12))-1</f>
        <v>0.0153094704997312</v>
      </c>
      <c r="W59" s="8" t="n">
        <f aca="false">V59*100</f>
        <v>1.53094704997312</v>
      </c>
      <c r="X59" s="10" t="n">
        <f aca="false">S59*(1+V59)</f>
        <v>323140630.451163</v>
      </c>
    </row>
    <row r="60" customFormat="false" ht="15" hidden="false" customHeight="false" outlineLevel="0" collapsed="false">
      <c r="J60" s="6" t="n">
        <v>57</v>
      </c>
      <c r="K60" s="8" t="n">
        <f aca="false">P59</f>
        <v>281934.445298879</v>
      </c>
      <c r="L60" s="6" t="n">
        <v>50</v>
      </c>
      <c r="M60" s="6" t="n">
        <f aca="false">1+L60/100</f>
        <v>1.5</v>
      </c>
      <c r="N60" s="9" t="n">
        <f aca="false">(M60^(1/12))-1</f>
        <v>0.0343660831319166</v>
      </c>
      <c r="O60" s="8" t="n">
        <f aca="false">N60*100</f>
        <v>3.43660831319166</v>
      </c>
      <c r="P60" s="8" t="n">
        <f aca="false">K60*(1+N60)</f>
        <v>291623.427883771</v>
      </c>
      <c r="R60" s="6" t="n">
        <v>57</v>
      </c>
      <c r="S60" s="10" t="n">
        <f aca="false">X59</f>
        <v>323140630.451163</v>
      </c>
      <c r="T60" s="6" t="n">
        <v>20</v>
      </c>
      <c r="U60" s="8" t="n">
        <f aca="false">1+T60/100</f>
        <v>1.2</v>
      </c>
      <c r="V60" s="11" t="n">
        <f aca="false">(U60^(1/12))-1</f>
        <v>0.0153094704997312</v>
      </c>
      <c r="W60" s="8" t="n">
        <f aca="false">V60*100</f>
        <v>1.53094704997312</v>
      </c>
      <c r="X60" s="10" t="n">
        <f aca="false">S60*(1+V60)</f>
        <v>328087742.40032</v>
      </c>
    </row>
    <row r="61" customFormat="false" ht="15" hidden="false" customHeight="false" outlineLevel="0" collapsed="false">
      <c r="J61" s="6" t="n">
        <v>58</v>
      </c>
      <c r="K61" s="8" t="n">
        <f aca="false">P60</f>
        <v>291623.427883771</v>
      </c>
      <c r="L61" s="6" t="n">
        <v>50</v>
      </c>
      <c r="M61" s="6" t="n">
        <f aca="false">1+L61/100</f>
        <v>1.5</v>
      </c>
      <c r="N61" s="9" t="n">
        <f aca="false">(M61^(1/12))-1</f>
        <v>0.0343660831319166</v>
      </c>
      <c r="O61" s="8" t="n">
        <f aca="false">N61*100</f>
        <v>3.43660831319166</v>
      </c>
      <c r="P61" s="8" t="n">
        <f aca="false">K61*(1+N61)</f>
        <v>301645.382849639</v>
      </c>
      <c r="R61" s="6" t="n">
        <v>58</v>
      </c>
      <c r="S61" s="10" t="n">
        <f aca="false">X60</f>
        <v>328087742.40032</v>
      </c>
      <c r="T61" s="6" t="n">
        <v>20</v>
      </c>
      <c r="U61" s="8" t="n">
        <f aca="false">1+T61/100</f>
        <v>1.2</v>
      </c>
      <c r="V61" s="11" t="n">
        <f aca="false">(U61^(1/12))-1</f>
        <v>0.0153094704997312</v>
      </c>
      <c r="W61" s="8" t="n">
        <f aca="false">V61*100</f>
        <v>1.53094704997312</v>
      </c>
      <c r="X61" s="10" t="n">
        <f aca="false">S61*(1+V61)</f>
        <v>333110592.013921</v>
      </c>
    </row>
    <row r="62" customFormat="false" ht="15" hidden="false" customHeight="false" outlineLevel="0" collapsed="false">
      <c r="J62" s="6" t="n">
        <v>59</v>
      </c>
      <c r="K62" s="8" t="n">
        <f aca="false">P61</f>
        <v>301645.382849639</v>
      </c>
      <c r="L62" s="6" t="n">
        <v>50</v>
      </c>
      <c r="M62" s="6" t="n">
        <f aca="false">1+L62/100</f>
        <v>1.5</v>
      </c>
      <c r="N62" s="9" t="n">
        <f aca="false">(M62^(1/12))-1</f>
        <v>0.0343660831319166</v>
      </c>
      <c r="O62" s="8" t="n">
        <f aca="false">N62*100</f>
        <v>3.43660831319166</v>
      </c>
      <c r="P62" s="8" t="n">
        <f aca="false">K62*(1+N62)</f>
        <v>312011.753153009</v>
      </c>
      <c r="R62" s="6" t="n">
        <v>59</v>
      </c>
      <c r="S62" s="10" t="n">
        <f aca="false">X61</f>
        <v>333110592.013921</v>
      </c>
      <c r="T62" s="6" t="n">
        <v>20</v>
      </c>
      <c r="U62" s="8" t="n">
        <f aca="false">1+T62/100</f>
        <v>1.2</v>
      </c>
      <c r="V62" s="11" t="n">
        <f aca="false">(U62^(1/12))-1</f>
        <v>0.0153094704997312</v>
      </c>
      <c r="W62" s="8" t="n">
        <f aca="false">V62*100</f>
        <v>1.53094704997312</v>
      </c>
      <c r="X62" s="10" t="n">
        <f aca="false">S62*(1+V62)</f>
        <v>338210338.795506</v>
      </c>
    </row>
    <row r="63" customFormat="false" ht="15" hidden="false" customHeight="false" outlineLevel="0" collapsed="false">
      <c r="J63" s="6" t="n">
        <v>60</v>
      </c>
      <c r="K63" s="8" t="n">
        <f aca="false">P62</f>
        <v>312011.753153009</v>
      </c>
      <c r="L63" s="6" t="n">
        <v>50</v>
      </c>
      <c r="M63" s="6" t="n">
        <f aca="false">1+L63/100</f>
        <v>1.5</v>
      </c>
      <c r="N63" s="9" t="n">
        <f aca="false">(M63^(1/12))-1</f>
        <v>0.0343660831319166</v>
      </c>
      <c r="O63" s="8" t="n">
        <f aca="false">N63*100</f>
        <v>3.43660831319166</v>
      </c>
      <c r="P63" s="8" t="n">
        <f aca="false">K63*(1+N63)</f>
        <v>322734.375</v>
      </c>
      <c r="R63" s="6" t="n">
        <v>60</v>
      </c>
      <c r="S63" s="10" t="n">
        <f aca="false">X62</f>
        <v>338210338.795506</v>
      </c>
      <c r="T63" s="6" t="n">
        <v>20</v>
      </c>
      <c r="U63" s="8" t="n">
        <f aca="false">1+T63/100</f>
        <v>1.2</v>
      </c>
      <c r="V63" s="11" t="n">
        <f aca="false">(U63^(1/12))-1</f>
        <v>0.0153094704997312</v>
      </c>
      <c r="W63" s="8" t="n">
        <f aca="false">V63*100</f>
        <v>1.53094704997312</v>
      </c>
      <c r="X63" s="10" t="n">
        <f aca="false">S63*(1+V63)</f>
        <v>343388160</v>
      </c>
    </row>
  </sheetData>
  <mergeCells count="3">
    <mergeCell ref="B2:H2"/>
    <mergeCell ref="J2:P2"/>
    <mergeCell ref="B27:H3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2026-04-04T11:13:23Z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